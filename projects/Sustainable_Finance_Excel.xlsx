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mi\Downloads\"/>
    </mc:Choice>
  </mc:AlternateContent>
  <xr:revisionPtr revIDLastSave="0" documentId="13_ncr:1_{3FD55392-4EEB-444E-A36A-7D64FDC95035}" xr6:coauthVersionLast="47" xr6:coauthVersionMax="47" xr10:uidLastSave="{00000000-0000-0000-0000-000000000000}"/>
  <bookViews>
    <workbookView xWindow="7365" yWindow="780" windowWidth="15300" windowHeight="13380" firstSheet="1" activeTab="2" xr2:uid="{6F7C7DA9-9245-4380-9374-CC2C31068C91}"/>
  </bookViews>
  <sheets>
    <sheet name="Discount rate &amp; power price" sheetId="2" r:id="rId1"/>
    <sheet name="DCF model" sheetId="1" r:id="rId2"/>
    <sheet name="Sensitivity Analysis" sheetId="3" r:id="rId3"/>
    <sheet name="Scenario 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7" i="3"/>
  <c r="B18" i="3"/>
  <c r="B13" i="3"/>
  <c r="B8" i="3"/>
  <c r="C17" i="2"/>
  <c r="C19" i="2" l="1"/>
  <c r="A62" i="4"/>
  <c r="A64" i="4"/>
  <c r="A65" i="4"/>
  <c r="A67" i="4"/>
  <c r="A68" i="4"/>
  <c r="A72" i="4"/>
  <c r="A75" i="4"/>
  <c r="A76" i="4"/>
  <c r="A6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C72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C70" i="4"/>
  <c r="B62" i="4"/>
  <c r="G85" i="4" s="1"/>
  <c r="F95" i="4" s="1"/>
  <c r="B64" i="4"/>
  <c r="B65" i="4"/>
  <c r="B67" i="4"/>
  <c r="B68" i="4"/>
  <c r="B72" i="4"/>
  <c r="B75" i="4"/>
  <c r="B76" i="4"/>
  <c r="B61" i="4"/>
  <c r="B83" i="4" s="1"/>
  <c r="B88" i="4" s="1"/>
  <c r="B44" i="4"/>
  <c r="B49" i="4"/>
  <c r="B31" i="4"/>
  <c r="C34" i="4" s="1"/>
  <c r="D34" i="4" s="1"/>
  <c r="E34" i="4" s="1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P34" i="4" s="1"/>
  <c r="Q34" i="4" s="1"/>
  <c r="R34" i="4" s="1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F54" i="4"/>
  <c r="E54" i="4"/>
  <c r="F54" i="4" s="1"/>
  <c r="G54" i="4" s="1"/>
  <c r="H54" i="4" s="1"/>
  <c r="I54" i="4" s="1"/>
  <c r="J54" i="4" s="1"/>
  <c r="K54" i="4" s="1"/>
  <c r="L54" i="4" s="1"/>
  <c r="M54" i="4" s="1"/>
  <c r="N54" i="4" s="1"/>
  <c r="O54" i="4" s="1"/>
  <c r="P54" i="4" s="1"/>
  <c r="Q54" i="4" s="1"/>
  <c r="R54" i="4" s="1"/>
  <c r="S54" i="4" s="1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D54" i="4"/>
  <c r="K36" i="4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J36" i="4"/>
  <c r="E36" i="4"/>
  <c r="F36" i="4"/>
  <c r="G36" i="4"/>
  <c r="H36" i="4"/>
  <c r="I36" i="4" s="1"/>
  <c r="D36" i="4"/>
  <c r="C52" i="4"/>
  <c r="D52" i="4" s="1"/>
  <c r="E52" i="4" s="1"/>
  <c r="F52" i="4" s="1"/>
  <c r="G52" i="4" s="1"/>
  <c r="H52" i="4" s="1"/>
  <c r="I52" i="4" s="1"/>
  <c r="J52" i="4" s="1"/>
  <c r="K52" i="4" s="1"/>
  <c r="L52" i="4" s="1"/>
  <c r="M52" i="4" s="1"/>
  <c r="N52" i="4" s="1"/>
  <c r="O52" i="4" s="1"/>
  <c r="P52" i="4" s="1"/>
  <c r="Q52" i="4" s="1"/>
  <c r="R52" i="4" s="1"/>
  <c r="S52" i="4" s="1"/>
  <c r="T52" i="4" s="1"/>
  <c r="U52" i="4" s="1"/>
  <c r="V52" i="4" s="1"/>
  <c r="W52" i="4" s="1"/>
  <c r="X52" i="4" s="1"/>
  <c r="Y52" i="4" s="1"/>
  <c r="Z52" i="4" s="1"/>
  <c r="AA52" i="4" s="1"/>
  <c r="AB52" i="4" s="1"/>
  <c r="AC52" i="4" s="1"/>
  <c r="AD52" i="4" s="1"/>
  <c r="AE52" i="4" s="1"/>
  <c r="AF52" i="4" s="1"/>
  <c r="B47" i="4"/>
  <c r="C81" i="4"/>
  <c r="D81" i="4" s="1"/>
  <c r="E81" i="4" s="1"/>
  <c r="F81" i="4" s="1"/>
  <c r="G81" i="4" s="1"/>
  <c r="H81" i="4" s="1"/>
  <c r="I81" i="4" s="1"/>
  <c r="J81" i="4" s="1"/>
  <c r="K81" i="4" s="1"/>
  <c r="L81" i="4" s="1"/>
  <c r="M81" i="4" s="1"/>
  <c r="N81" i="4" s="1"/>
  <c r="O81" i="4" s="1"/>
  <c r="P81" i="4" s="1"/>
  <c r="Q81" i="4" s="1"/>
  <c r="R81" i="4" s="1"/>
  <c r="S81" i="4" s="1"/>
  <c r="T81" i="4" s="1"/>
  <c r="U81" i="4" s="1"/>
  <c r="V81" i="4" s="1"/>
  <c r="W81" i="4" s="1"/>
  <c r="X81" i="4" s="1"/>
  <c r="Y81" i="4" s="1"/>
  <c r="Z81" i="4" s="1"/>
  <c r="AA81" i="4" s="1"/>
  <c r="AB81" i="4" s="1"/>
  <c r="AC81" i="4" s="1"/>
  <c r="AD81" i="4" s="1"/>
  <c r="AE81" i="4" s="1"/>
  <c r="AF81" i="4" s="1"/>
  <c r="B29" i="4"/>
  <c r="D18" i="4"/>
  <c r="E18" i="4" s="1"/>
  <c r="C16" i="4"/>
  <c r="D16" i="4" s="1"/>
  <c r="B11" i="4"/>
  <c r="M85" i="4" l="1"/>
  <c r="L95" i="4" s="1"/>
  <c r="N85" i="4"/>
  <c r="M95" i="4" s="1"/>
  <c r="AB85" i="4"/>
  <c r="AA95" i="4" s="1"/>
  <c r="X85" i="4"/>
  <c r="W95" i="4" s="1"/>
  <c r="K85" i="4"/>
  <c r="J95" i="4" s="1"/>
  <c r="U85" i="4"/>
  <c r="T95" i="4" s="1"/>
  <c r="H85" i="4"/>
  <c r="G95" i="4" s="1"/>
  <c r="F85" i="4"/>
  <c r="E95" i="4" s="1"/>
  <c r="T85" i="4"/>
  <c r="S95" i="4" s="1"/>
  <c r="AF85" i="4"/>
  <c r="AE95" i="4" s="1"/>
  <c r="AD85" i="4"/>
  <c r="AC95" i="4" s="1"/>
  <c r="S85" i="4"/>
  <c r="R95" i="4" s="1"/>
  <c r="E85" i="4"/>
  <c r="D95" i="4" s="1"/>
  <c r="AC85" i="4"/>
  <c r="AB95" i="4" s="1"/>
  <c r="P85" i="4"/>
  <c r="O95" i="4" s="1"/>
  <c r="D85" i="4"/>
  <c r="C95" i="4" s="1"/>
  <c r="AA85" i="4"/>
  <c r="Z95" i="4" s="1"/>
  <c r="L85" i="4"/>
  <c r="K95" i="4" s="1"/>
  <c r="C84" i="4"/>
  <c r="B94" i="4" s="1"/>
  <c r="V85" i="4"/>
  <c r="U95" i="4" s="1"/>
  <c r="D84" i="4"/>
  <c r="C94" i="4" s="1"/>
  <c r="Z85" i="4"/>
  <c r="Y95" i="4" s="1"/>
  <c r="R85" i="4"/>
  <c r="Q95" i="4" s="1"/>
  <c r="J85" i="4"/>
  <c r="I95" i="4" s="1"/>
  <c r="C85" i="4"/>
  <c r="B95" i="4" s="1"/>
  <c r="Y85" i="4"/>
  <c r="X95" i="4" s="1"/>
  <c r="Q85" i="4"/>
  <c r="P95" i="4" s="1"/>
  <c r="I85" i="4"/>
  <c r="H95" i="4" s="1"/>
  <c r="AE85" i="4"/>
  <c r="AD95" i="4" s="1"/>
  <c r="W85" i="4"/>
  <c r="V95" i="4" s="1"/>
  <c r="O85" i="4"/>
  <c r="N95" i="4" s="1"/>
  <c r="AF84" i="4"/>
  <c r="AE94" i="4" s="1"/>
  <c r="H96" i="4"/>
  <c r="P96" i="4"/>
  <c r="X96" i="4"/>
  <c r="B96" i="4"/>
  <c r="I96" i="4"/>
  <c r="Q96" i="4"/>
  <c r="Y96" i="4"/>
  <c r="J96" i="4"/>
  <c r="R96" i="4"/>
  <c r="Z96" i="4"/>
  <c r="C96" i="4"/>
  <c r="K96" i="4"/>
  <c r="S96" i="4"/>
  <c r="AA96" i="4"/>
  <c r="M96" i="4"/>
  <c r="AC96" i="4"/>
  <c r="AE96" i="4"/>
  <c r="D96" i="4"/>
  <c r="L96" i="4"/>
  <c r="T96" i="4"/>
  <c r="AB96" i="4"/>
  <c r="E96" i="4"/>
  <c r="U96" i="4"/>
  <c r="G96" i="4"/>
  <c r="O96" i="4"/>
  <c r="F96" i="4"/>
  <c r="N96" i="4"/>
  <c r="V96" i="4"/>
  <c r="AD96" i="4"/>
  <c r="W96" i="4"/>
  <c r="B89" i="4"/>
  <c r="E16" i="4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F18" i="4"/>
  <c r="B97" i="4" l="1"/>
  <c r="B98" i="4" s="1"/>
  <c r="C86" i="4" s="1"/>
  <c r="C88" i="4" s="1"/>
  <c r="C97" i="4"/>
  <c r="C98" i="4" s="1"/>
  <c r="D86" i="4" s="1"/>
  <c r="D88" i="4" s="1"/>
  <c r="AE97" i="4"/>
  <c r="AE98" i="4" s="1"/>
  <c r="E84" i="4"/>
  <c r="D94" i="4" s="1"/>
  <c r="D97" i="4" s="1"/>
  <c r="D98" i="4" s="1"/>
  <c r="E86" i="4" s="1"/>
  <c r="E88" i="4" s="1"/>
  <c r="G18" i="4"/>
  <c r="C89" i="4" l="1"/>
  <c r="D89" i="4"/>
  <c r="F84" i="4"/>
  <c r="E89" i="4"/>
  <c r="H18" i="4"/>
  <c r="E94" i="4" l="1"/>
  <c r="E97" i="4" s="1"/>
  <c r="E98" i="4" s="1"/>
  <c r="F86" i="4" s="1"/>
  <c r="F88" i="4" s="1"/>
  <c r="G84" i="4"/>
  <c r="I18" i="4"/>
  <c r="F89" i="4" l="1"/>
  <c r="F94" i="4"/>
  <c r="F97" i="4" s="1"/>
  <c r="F98" i="4" s="1"/>
  <c r="G86" i="4" s="1"/>
  <c r="G88" i="4" s="1"/>
  <c r="G89" i="4" s="1"/>
  <c r="H84" i="4"/>
  <c r="G94" i="4" s="1"/>
  <c r="G97" i="4" s="1"/>
  <c r="G98" i="4" s="1"/>
  <c r="H86" i="4" s="1"/>
  <c r="H88" i="4" s="1"/>
  <c r="J18" i="4"/>
  <c r="H89" i="4" l="1"/>
  <c r="I84" i="4"/>
  <c r="K18" i="4"/>
  <c r="H94" i="4" l="1"/>
  <c r="H97" i="4" s="1"/>
  <c r="H98" i="4" s="1"/>
  <c r="I86" i="4" s="1"/>
  <c r="I88" i="4" s="1"/>
  <c r="J84" i="4"/>
  <c r="L18" i="4"/>
  <c r="I89" i="4" l="1"/>
  <c r="I94" i="4"/>
  <c r="I97" i="4" s="1"/>
  <c r="I98" i="4" s="1"/>
  <c r="J86" i="4" s="1"/>
  <c r="J88" i="4" s="1"/>
  <c r="J89" i="4" s="1"/>
  <c r="K84" i="4"/>
  <c r="M18" i="4"/>
  <c r="J94" i="4" l="1"/>
  <c r="J97" i="4" s="1"/>
  <c r="J98" i="4" s="1"/>
  <c r="K86" i="4" s="1"/>
  <c r="K88" i="4" s="1"/>
  <c r="K89" i="4" s="1"/>
  <c r="L84" i="4"/>
  <c r="N18" i="4"/>
  <c r="K94" i="4" l="1"/>
  <c r="K97" i="4" s="1"/>
  <c r="K98" i="4" s="1"/>
  <c r="L86" i="4" s="1"/>
  <c r="L88" i="4" s="1"/>
  <c r="L89" i="4" s="1"/>
  <c r="M84" i="4"/>
  <c r="L94" i="4" s="1"/>
  <c r="L97" i="4" s="1"/>
  <c r="L98" i="4" s="1"/>
  <c r="M86" i="4" s="1"/>
  <c r="M88" i="4" s="1"/>
  <c r="O18" i="4"/>
  <c r="M89" i="4" l="1"/>
  <c r="N84" i="4"/>
  <c r="P18" i="4"/>
  <c r="M94" i="4" l="1"/>
  <c r="M97" i="4" s="1"/>
  <c r="M98" i="4" s="1"/>
  <c r="N86" i="4" s="1"/>
  <c r="N88" i="4" s="1"/>
  <c r="N89" i="4" s="1"/>
  <c r="O84" i="4"/>
  <c r="N94" i="4" s="1"/>
  <c r="N97" i="4" s="1"/>
  <c r="N98" i="4" s="1"/>
  <c r="O86" i="4" s="1"/>
  <c r="O88" i="4" s="1"/>
  <c r="Q18" i="4"/>
  <c r="O89" i="4" l="1"/>
  <c r="P84" i="4"/>
  <c r="R18" i="4"/>
  <c r="O94" i="4" l="1"/>
  <c r="O97" i="4" s="1"/>
  <c r="O98" i="4" s="1"/>
  <c r="P86" i="4" s="1"/>
  <c r="P88" i="4" s="1"/>
  <c r="P89" i="4" s="1"/>
  <c r="Q84" i="4"/>
  <c r="P94" i="4" s="1"/>
  <c r="P97" i="4" s="1"/>
  <c r="P98" i="4" s="1"/>
  <c r="Q86" i="4" s="1"/>
  <c r="Q88" i="4" s="1"/>
  <c r="S18" i="4"/>
  <c r="Q89" i="4" l="1"/>
  <c r="R84" i="4"/>
  <c r="T18" i="4"/>
  <c r="Q94" i="4" l="1"/>
  <c r="Q97" i="4" s="1"/>
  <c r="Q98" i="4" s="1"/>
  <c r="R86" i="4" s="1"/>
  <c r="R88" i="4" s="1"/>
  <c r="R89" i="4" s="1"/>
  <c r="S84" i="4"/>
  <c r="U18" i="4"/>
  <c r="R94" i="4" l="1"/>
  <c r="R97" i="4" s="1"/>
  <c r="R98" i="4" s="1"/>
  <c r="S86" i="4" s="1"/>
  <c r="S88" i="4" s="1"/>
  <c r="S89" i="4" s="1"/>
  <c r="T84" i="4"/>
  <c r="S94" i="4" s="1"/>
  <c r="S97" i="4" s="1"/>
  <c r="S98" i="4" s="1"/>
  <c r="T86" i="4" s="1"/>
  <c r="T88" i="4" s="1"/>
  <c r="V18" i="4"/>
  <c r="T89" i="4" l="1"/>
  <c r="U84" i="4"/>
  <c r="W18" i="4"/>
  <c r="T94" i="4" l="1"/>
  <c r="T97" i="4" s="1"/>
  <c r="T98" i="4" s="1"/>
  <c r="U86" i="4" s="1"/>
  <c r="U88" i="4" s="1"/>
  <c r="U89" i="4" s="1"/>
  <c r="V84" i="4"/>
  <c r="X18" i="4"/>
  <c r="U94" i="4" l="1"/>
  <c r="U97" i="4" s="1"/>
  <c r="U98" i="4" s="1"/>
  <c r="V86" i="4" s="1"/>
  <c r="V88" i="4" s="1"/>
  <c r="V89" i="4" s="1"/>
  <c r="W84" i="4"/>
  <c r="V94" i="4" s="1"/>
  <c r="V97" i="4" s="1"/>
  <c r="V98" i="4" s="1"/>
  <c r="W86" i="4" s="1"/>
  <c r="W88" i="4" s="1"/>
  <c r="Y18" i="4"/>
  <c r="W89" i="4" l="1"/>
  <c r="X84" i="4"/>
  <c r="W94" i="4" s="1"/>
  <c r="W97" i="4" s="1"/>
  <c r="W98" i="4" s="1"/>
  <c r="X86" i="4" s="1"/>
  <c r="X88" i="4" s="1"/>
  <c r="X89" i="4" s="1"/>
  <c r="Z18" i="4"/>
  <c r="Y84" i="4" l="1"/>
  <c r="X94" i="4" s="1"/>
  <c r="X97" i="4" s="1"/>
  <c r="X98" i="4" s="1"/>
  <c r="Y86" i="4" s="1"/>
  <c r="Y88" i="4" s="1"/>
  <c r="Y89" i="4" s="1"/>
  <c r="AA18" i="4"/>
  <c r="Z84" i="4" l="1"/>
  <c r="Y94" i="4" s="1"/>
  <c r="Y97" i="4" s="1"/>
  <c r="Y98" i="4" s="1"/>
  <c r="Z86" i="4" s="1"/>
  <c r="Z88" i="4" s="1"/>
  <c r="Z89" i="4" s="1"/>
  <c r="AB18" i="4"/>
  <c r="AA84" i="4" l="1"/>
  <c r="Z94" i="4" s="1"/>
  <c r="Z97" i="4" s="1"/>
  <c r="Z98" i="4" s="1"/>
  <c r="AA86" i="4" s="1"/>
  <c r="AA88" i="4" s="1"/>
  <c r="AA89" i="4" s="1"/>
  <c r="AC18" i="4"/>
  <c r="AB84" i="4" l="1"/>
  <c r="AD18" i="4"/>
  <c r="AA94" i="4" l="1"/>
  <c r="AA97" i="4" s="1"/>
  <c r="AA98" i="4" s="1"/>
  <c r="AB86" i="4" s="1"/>
  <c r="AB88" i="4" s="1"/>
  <c r="AB89" i="4" s="1"/>
  <c r="AC84" i="4"/>
  <c r="AB94" i="4" s="1"/>
  <c r="AB97" i="4" s="1"/>
  <c r="AB98" i="4" s="1"/>
  <c r="AC86" i="4" s="1"/>
  <c r="AC88" i="4" s="1"/>
  <c r="AE18" i="4"/>
  <c r="AC89" i="4" l="1"/>
  <c r="AD84" i="4"/>
  <c r="AC94" i="4" s="1"/>
  <c r="AC97" i="4" s="1"/>
  <c r="AC98" i="4" s="1"/>
  <c r="AD86" i="4" s="1"/>
  <c r="AD88" i="4" s="1"/>
  <c r="AD89" i="4" s="1"/>
  <c r="AF18" i="4"/>
  <c r="AF86" i="4" l="1"/>
  <c r="AF88" i="4" s="1"/>
  <c r="AE84" i="4"/>
  <c r="AD94" i="4" s="1"/>
  <c r="AD97" i="4" s="1"/>
  <c r="AD98" i="4" s="1"/>
  <c r="AE86" i="4" s="1"/>
  <c r="AE88" i="4" s="1"/>
  <c r="AE89" i="4" s="1"/>
  <c r="B4" i="4" l="1"/>
  <c r="B103" i="4"/>
  <c r="B102" i="4"/>
  <c r="AF89" i="4"/>
  <c r="E106" i="3" l="1"/>
  <c r="F106" i="3"/>
  <c r="G106" i="3"/>
  <c r="H106" i="3"/>
  <c r="K106" i="3"/>
  <c r="L106" i="3"/>
  <c r="M106" i="3"/>
  <c r="J106" i="3"/>
  <c r="E91" i="3"/>
  <c r="F91" i="3"/>
  <c r="G91" i="3"/>
  <c r="H91" i="3"/>
  <c r="K91" i="3"/>
  <c r="L91" i="3"/>
  <c r="M91" i="3"/>
  <c r="J91" i="3"/>
  <c r="E77" i="3"/>
  <c r="F77" i="3"/>
  <c r="G77" i="3"/>
  <c r="H77" i="3"/>
  <c r="K77" i="3"/>
  <c r="L77" i="3"/>
  <c r="M77" i="3"/>
  <c r="J77" i="3"/>
  <c r="E63" i="3"/>
  <c r="F63" i="3"/>
  <c r="G63" i="3"/>
  <c r="H63" i="3"/>
  <c r="K63" i="3"/>
  <c r="L63" i="3"/>
  <c r="M63" i="3"/>
  <c r="J63" i="3"/>
  <c r="AF33" i="3"/>
  <c r="AE43" i="3" s="1"/>
  <c r="AE33" i="3"/>
  <c r="AD43" i="3" s="1"/>
  <c r="AD33" i="3"/>
  <c r="AC43" i="3" s="1"/>
  <c r="AC33" i="3"/>
  <c r="AB43" i="3" s="1"/>
  <c r="AB33" i="3"/>
  <c r="AA43" i="3" s="1"/>
  <c r="AA33" i="3"/>
  <c r="Z43" i="3" s="1"/>
  <c r="Z33" i="3"/>
  <c r="Y43" i="3" s="1"/>
  <c r="Y33" i="3"/>
  <c r="X43" i="3" s="1"/>
  <c r="X33" i="3"/>
  <c r="W43" i="3" s="1"/>
  <c r="W33" i="3"/>
  <c r="V43" i="3" s="1"/>
  <c r="V33" i="3"/>
  <c r="U43" i="3" s="1"/>
  <c r="U33" i="3"/>
  <c r="T43" i="3" s="1"/>
  <c r="T33" i="3"/>
  <c r="S43" i="3" s="1"/>
  <c r="S33" i="3"/>
  <c r="R43" i="3" s="1"/>
  <c r="R33" i="3"/>
  <c r="Q43" i="3" s="1"/>
  <c r="Q33" i="3"/>
  <c r="P43" i="3" s="1"/>
  <c r="P33" i="3"/>
  <c r="O43" i="3" s="1"/>
  <c r="O33" i="3"/>
  <c r="N43" i="3" s="1"/>
  <c r="N33" i="3"/>
  <c r="M43" i="3" s="1"/>
  <c r="M33" i="3"/>
  <c r="L43" i="3" s="1"/>
  <c r="L33" i="3"/>
  <c r="K43" i="3" s="1"/>
  <c r="K33" i="3"/>
  <c r="J43" i="3" s="1"/>
  <c r="J33" i="3"/>
  <c r="I43" i="3" s="1"/>
  <c r="I33" i="3"/>
  <c r="H43" i="3" s="1"/>
  <c r="H33" i="3"/>
  <c r="G43" i="3" s="1"/>
  <c r="G33" i="3"/>
  <c r="F43" i="3" s="1"/>
  <c r="F33" i="3"/>
  <c r="E43" i="3" s="1"/>
  <c r="E33" i="3"/>
  <c r="D43" i="3" s="1"/>
  <c r="D33" i="3"/>
  <c r="C43" i="3" s="1"/>
  <c r="C33" i="3"/>
  <c r="B43" i="3" s="1"/>
  <c r="B31" i="3"/>
  <c r="B36" i="3" s="1"/>
  <c r="C29" i="3"/>
  <c r="D29" i="3" s="1"/>
  <c r="E29" i="3" s="1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D18" i="3"/>
  <c r="E18" i="3" s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B11" i="3"/>
  <c r="Z44" i="3" s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C34" i="1"/>
  <c r="K18" i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J18" i="1"/>
  <c r="J32" i="1" s="1"/>
  <c r="D32" i="1"/>
  <c r="E32" i="1"/>
  <c r="F32" i="1"/>
  <c r="G32" i="1"/>
  <c r="H32" i="1"/>
  <c r="I32" i="1"/>
  <c r="C32" i="1"/>
  <c r="D18" i="1"/>
  <c r="C33" i="1"/>
  <c r="B43" i="1" s="1"/>
  <c r="C44" i="1"/>
  <c r="E44" i="1"/>
  <c r="H44" i="1"/>
  <c r="J44" i="1"/>
  <c r="K44" i="1"/>
  <c r="M44" i="1"/>
  <c r="P44" i="1"/>
  <c r="R44" i="1"/>
  <c r="S44" i="1"/>
  <c r="U44" i="1"/>
  <c r="X44" i="1"/>
  <c r="Z44" i="1"/>
  <c r="AA44" i="1"/>
  <c r="AC44" i="1"/>
  <c r="B44" i="1"/>
  <c r="B11" i="1"/>
  <c r="D44" i="1" s="1"/>
  <c r="F43" i="1"/>
  <c r="N43" i="1"/>
  <c r="AD43" i="1"/>
  <c r="D33" i="1"/>
  <c r="C43" i="1" s="1"/>
  <c r="E33" i="1"/>
  <c r="D43" i="1" s="1"/>
  <c r="F33" i="1"/>
  <c r="E43" i="1" s="1"/>
  <c r="G33" i="1"/>
  <c r="H33" i="1"/>
  <c r="G43" i="1" s="1"/>
  <c r="I33" i="1"/>
  <c r="H43" i="1" s="1"/>
  <c r="J33" i="1"/>
  <c r="I43" i="1" s="1"/>
  <c r="K33" i="1"/>
  <c r="J43" i="1" s="1"/>
  <c r="L33" i="1"/>
  <c r="K43" i="1" s="1"/>
  <c r="M33" i="1"/>
  <c r="L43" i="1" s="1"/>
  <c r="N33" i="1"/>
  <c r="M43" i="1" s="1"/>
  <c r="O33" i="1"/>
  <c r="P33" i="1"/>
  <c r="O43" i="1" s="1"/>
  <c r="Q33" i="1"/>
  <c r="P43" i="1" s="1"/>
  <c r="R33" i="1"/>
  <c r="Q43" i="1" s="1"/>
  <c r="S33" i="1"/>
  <c r="R43" i="1" s="1"/>
  <c r="T33" i="1"/>
  <c r="S43" i="1" s="1"/>
  <c r="U33" i="1"/>
  <c r="T43" i="1" s="1"/>
  <c r="V33" i="1"/>
  <c r="U43" i="1" s="1"/>
  <c r="W33" i="1"/>
  <c r="V43" i="1" s="1"/>
  <c r="X33" i="1"/>
  <c r="W43" i="1" s="1"/>
  <c r="Y33" i="1"/>
  <c r="X43" i="1" s="1"/>
  <c r="Z33" i="1"/>
  <c r="Y43" i="1" s="1"/>
  <c r="AA33" i="1"/>
  <c r="Z43" i="1" s="1"/>
  <c r="AB33" i="1"/>
  <c r="AA43" i="1" s="1"/>
  <c r="AC33" i="1"/>
  <c r="AB43" i="1" s="1"/>
  <c r="AD33" i="1"/>
  <c r="AC43" i="1" s="1"/>
  <c r="AE33" i="1"/>
  <c r="AF33" i="1"/>
  <c r="AE43" i="1" s="1"/>
  <c r="B31" i="1"/>
  <c r="B36" i="1" s="1"/>
  <c r="C16" i="1"/>
  <c r="D16" i="1" s="1"/>
  <c r="C44" i="3" l="1"/>
  <c r="M44" i="3"/>
  <c r="E44" i="3"/>
  <c r="N44" i="3"/>
  <c r="S44" i="3"/>
  <c r="U44" i="3"/>
  <c r="AC44" i="3"/>
  <c r="AD44" i="3"/>
  <c r="C32" i="3"/>
  <c r="B42" i="3" s="1"/>
  <c r="D44" i="3"/>
  <c r="T44" i="3"/>
  <c r="F44" i="3"/>
  <c r="V44" i="3"/>
  <c r="K44" i="3"/>
  <c r="AA44" i="3"/>
  <c r="L44" i="3"/>
  <c r="AB44" i="3"/>
  <c r="F18" i="3"/>
  <c r="E32" i="3"/>
  <c r="B37" i="3"/>
  <c r="D32" i="3"/>
  <c r="G44" i="3"/>
  <c r="O44" i="3"/>
  <c r="W44" i="3"/>
  <c r="AE44" i="3"/>
  <c r="H44" i="3"/>
  <c r="P44" i="3"/>
  <c r="X44" i="3"/>
  <c r="I44" i="3"/>
  <c r="Q44" i="3"/>
  <c r="Y44" i="3"/>
  <c r="B44" i="3"/>
  <c r="J44" i="3"/>
  <c r="R44" i="3"/>
  <c r="E18" i="1"/>
  <c r="F18" i="1"/>
  <c r="Y44" i="1"/>
  <c r="Q44" i="1"/>
  <c r="I44" i="1"/>
  <c r="AE44" i="1"/>
  <c r="W44" i="1"/>
  <c r="O44" i="1"/>
  <c r="G44" i="1"/>
  <c r="B37" i="1"/>
  <c r="AD44" i="1"/>
  <c r="V44" i="1"/>
  <c r="N44" i="1"/>
  <c r="F44" i="1"/>
  <c r="AB44" i="1"/>
  <c r="T44" i="1"/>
  <c r="L44" i="1"/>
  <c r="E16" i="1"/>
  <c r="B45" i="3" l="1"/>
  <c r="B46" i="3" s="1"/>
  <c r="C34" i="3" s="1"/>
  <c r="C36" i="3" s="1"/>
  <c r="C37" i="3" s="1"/>
  <c r="D42" i="3"/>
  <c r="D45" i="3" s="1"/>
  <c r="D46" i="3" s="1"/>
  <c r="E34" i="3" s="1"/>
  <c r="E36" i="3" s="1"/>
  <c r="C42" i="3"/>
  <c r="C45" i="3" s="1"/>
  <c r="C46" i="3" s="1"/>
  <c r="D34" i="3" s="1"/>
  <c r="D36" i="3" s="1"/>
  <c r="G18" i="3"/>
  <c r="F32" i="3"/>
  <c r="G18" i="1"/>
  <c r="B42" i="1"/>
  <c r="B45" i="1" s="1"/>
  <c r="B46" i="1" s="1"/>
  <c r="C42" i="1"/>
  <c r="C45" i="1" s="1"/>
  <c r="C46" i="1" s="1"/>
  <c r="F16" i="1"/>
  <c r="D37" i="3" l="1"/>
  <c r="E37" i="3"/>
  <c r="H18" i="3"/>
  <c r="G32" i="3"/>
  <c r="E42" i="3"/>
  <c r="E45" i="3" s="1"/>
  <c r="E46" i="3" s="1"/>
  <c r="F34" i="3" s="1"/>
  <c r="F36" i="3" s="1"/>
  <c r="H18" i="1"/>
  <c r="D36" i="1"/>
  <c r="C36" i="1"/>
  <c r="C37" i="1" s="1"/>
  <c r="D42" i="1"/>
  <c r="D45" i="1" s="1"/>
  <c r="D46" i="1" s="1"/>
  <c r="G16" i="1"/>
  <c r="F37" i="3" l="1"/>
  <c r="F42" i="3"/>
  <c r="F45" i="3" s="1"/>
  <c r="F46" i="3" s="1"/>
  <c r="G34" i="3" s="1"/>
  <c r="G36" i="3" s="1"/>
  <c r="H32" i="3"/>
  <c r="I18" i="3"/>
  <c r="I18" i="1"/>
  <c r="E36" i="1"/>
  <c r="E37" i="1" s="1"/>
  <c r="D37" i="1"/>
  <c r="E42" i="1"/>
  <c r="E45" i="1" s="1"/>
  <c r="E46" i="1" s="1"/>
  <c r="H16" i="1"/>
  <c r="G37" i="3" l="1"/>
  <c r="I32" i="3"/>
  <c r="J18" i="3"/>
  <c r="G42" i="3"/>
  <c r="G45" i="3" s="1"/>
  <c r="G46" i="3" s="1"/>
  <c r="H34" i="3" s="1"/>
  <c r="H36" i="3" s="1"/>
  <c r="H37" i="3" s="1"/>
  <c r="F36" i="1"/>
  <c r="F37" i="1" s="1"/>
  <c r="F42" i="1"/>
  <c r="F45" i="1" s="1"/>
  <c r="F46" i="1" s="1"/>
  <c r="I16" i="1"/>
  <c r="J32" i="3" l="1"/>
  <c r="K18" i="3"/>
  <c r="H42" i="3"/>
  <c r="H45" i="3" s="1"/>
  <c r="H46" i="3" s="1"/>
  <c r="I34" i="3" s="1"/>
  <c r="I36" i="3" s="1"/>
  <c r="I37" i="3" s="1"/>
  <c r="K32" i="1"/>
  <c r="G36" i="1"/>
  <c r="G37" i="1" s="1"/>
  <c r="G42" i="1"/>
  <c r="G45" i="1" s="1"/>
  <c r="G46" i="1" s="1"/>
  <c r="J16" i="1"/>
  <c r="I42" i="3" l="1"/>
  <c r="I45" i="3" s="1"/>
  <c r="I46" i="3" s="1"/>
  <c r="J34" i="3" s="1"/>
  <c r="J36" i="3" s="1"/>
  <c r="J37" i="3" s="1"/>
  <c r="L18" i="3"/>
  <c r="K32" i="3"/>
  <c r="L32" i="1"/>
  <c r="H36" i="1"/>
  <c r="H37" i="1" s="1"/>
  <c r="H42" i="1"/>
  <c r="H45" i="1" s="1"/>
  <c r="H46" i="1" s="1"/>
  <c r="K16" i="1"/>
  <c r="J42" i="3" l="1"/>
  <c r="J45" i="3" s="1"/>
  <c r="J46" i="3" s="1"/>
  <c r="K34" i="3" s="1"/>
  <c r="K36" i="3" s="1"/>
  <c r="K37" i="3" s="1"/>
  <c r="M18" i="3"/>
  <c r="L32" i="3"/>
  <c r="M32" i="1"/>
  <c r="I36" i="1"/>
  <c r="I37" i="1" s="1"/>
  <c r="I42" i="1"/>
  <c r="I45" i="1" s="1"/>
  <c r="I46" i="1" s="1"/>
  <c r="L16" i="1"/>
  <c r="N18" i="3" l="1"/>
  <c r="M32" i="3"/>
  <c r="K42" i="3"/>
  <c r="K45" i="3" s="1"/>
  <c r="K46" i="3" s="1"/>
  <c r="L34" i="3" s="1"/>
  <c r="L36" i="3" s="1"/>
  <c r="L37" i="3" s="1"/>
  <c r="N32" i="1"/>
  <c r="J36" i="1"/>
  <c r="J37" i="1" s="1"/>
  <c r="J42" i="1"/>
  <c r="J45" i="1" s="1"/>
  <c r="J46" i="1" s="1"/>
  <c r="M16" i="1"/>
  <c r="L42" i="3" l="1"/>
  <c r="L45" i="3" s="1"/>
  <c r="L46" i="3" s="1"/>
  <c r="M34" i="3" s="1"/>
  <c r="M36" i="3" s="1"/>
  <c r="M37" i="3" s="1"/>
  <c r="O18" i="3"/>
  <c r="N32" i="3"/>
  <c r="O32" i="1"/>
  <c r="K36" i="1"/>
  <c r="K37" i="1" s="1"/>
  <c r="K42" i="1"/>
  <c r="K45" i="1" s="1"/>
  <c r="K46" i="1" s="1"/>
  <c r="N16" i="1"/>
  <c r="M42" i="3" l="1"/>
  <c r="M45" i="3" s="1"/>
  <c r="M46" i="3" s="1"/>
  <c r="N34" i="3" s="1"/>
  <c r="N36" i="3" s="1"/>
  <c r="N37" i="3" s="1"/>
  <c r="O32" i="3"/>
  <c r="P18" i="3"/>
  <c r="P32" i="1"/>
  <c r="L36" i="1"/>
  <c r="L37" i="1" s="1"/>
  <c r="L42" i="1"/>
  <c r="L45" i="1" s="1"/>
  <c r="L46" i="1" s="1"/>
  <c r="O16" i="1"/>
  <c r="P32" i="3" l="1"/>
  <c r="Q18" i="3"/>
  <c r="N42" i="3"/>
  <c r="N45" i="3" s="1"/>
  <c r="N46" i="3" s="1"/>
  <c r="O34" i="3" s="1"/>
  <c r="O36" i="3" s="1"/>
  <c r="O37" i="3" s="1"/>
  <c r="Q32" i="1"/>
  <c r="M36" i="1"/>
  <c r="M37" i="1" s="1"/>
  <c r="M42" i="1"/>
  <c r="M45" i="1" s="1"/>
  <c r="M46" i="1" s="1"/>
  <c r="P16" i="1"/>
  <c r="O42" i="3" l="1"/>
  <c r="O45" i="3" s="1"/>
  <c r="O46" i="3" s="1"/>
  <c r="P34" i="3" s="1"/>
  <c r="P36" i="3" s="1"/>
  <c r="P37" i="3" s="1"/>
  <c r="Q32" i="3"/>
  <c r="R18" i="3"/>
  <c r="R32" i="1"/>
  <c r="N36" i="1"/>
  <c r="N37" i="1" s="1"/>
  <c r="N42" i="1"/>
  <c r="N45" i="1" s="1"/>
  <c r="N46" i="1" s="1"/>
  <c r="Q16" i="1"/>
  <c r="R32" i="3" l="1"/>
  <c r="S18" i="3"/>
  <c r="P42" i="3"/>
  <c r="P45" i="3" s="1"/>
  <c r="P46" i="3" s="1"/>
  <c r="Q34" i="3" s="1"/>
  <c r="Q36" i="3" s="1"/>
  <c r="Q37" i="3" s="1"/>
  <c r="S32" i="1"/>
  <c r="O36" i="1"/>
  <c r="O37" i="1" s="1"/>
  <c r="O42" i="1"/>
  <c r="O45" i="1" s="1"/>
  <c r="O46" i="1" s="1"/>
  <c r="R16" i="1"/>
  <c r="Q42" i="3" l="1"/>
  <c r="Q45" i="3" s="1"/>
  <c r="Q46" i="3" s="1"/>
  <c r="R34" i="3" s="1"/>
  <c r="R36" i="3" s="1"/>
  <c r="R37" i="3" s="1"/>
  <c r="S32" i="3"/>
  <c r="T18" i="3"/>
  <c r="T32" i="1"/>
  <c r="P36" i="1"/>
  <c r="P37" i="1" s="1"/>
  <c r="P42" i="1"/>
  <c r="P45" i="1" s="1"/>
  <c r="P46" i="1" s="1"/>
  <c r="Q36" i="1" s="1"/>
  <c r="S16" i="1"/>
  <c r="U18" i="3" l="1"/>
  <c r="T32" i="3"/>
  <c r="R42" i="3"/>
  <c r="R45" i="3" s="1"/>
  <c r="R46" i="3" s="1"/>
  <c r="S34" i="3" s="1"/>
  <c r="S36" i="3" s="1"/>
  <c r="S37" i="3" s="1"/>
  <c r="U32" i="1"/>
  <c r="Q37" i="1"/>
  <c r="Q42" i="1"/>
  <c r="Q45" i="1" s="1"/>
  <c r="Q46" i="1" s="1"/>
  <c r="T16" i="1"/>
  <c r="S42" i="3" l="1"/>
  <c r="S45" i="3" s="1"/>
  <c r="S46" i="3" s="1"/>
  <c r="T34" i="3" s="1"/>
  <c r="T36" i="3" s="1"/>
  <c r="T37" i="3" s="1"/>
  <c r="V18" i="3"/>
  <c r="U32" i="3"/>
  <c r="V32" i="1"/>
  <c r="R36" i="1"/>
  <c r="R37" i="1" s="1"/>
  <c r="R42" i="1"/>
  <c r="R45" i="1" s="1"/>
  <c r="R46" i="1" s="1"/>
  <c r="U16" i="1"/>
  <c r="T42" i="3" l="1"/>
  <c r="T45" i="3" s="1"/>
  <c r="T46" i="3" s="1"/>
  <c r="U34" i="3" s="1"/>
  <c r="U36" i="3" s="1"/>
  <c r="U37" i="3" s="1"/>
  <c r="W18" i="3"/>
  <c r="V32" i="3"/>
  <c r="W32" i="1"/>
  <c r="S36" i="1"/>
  <c r="S37" i="1" s="1"/>
  <c r="S42" i="1"/>
  <c r="S45" i="1" s="1"/>
  <c r="S46" i="1" s="1"/>
  <c r="V16" i="1"/>
  <c r="U42" i="3" l="1"/>
  <c r="U45" i="3" s="1"/>
  <c r="U46" i="3" s="1"/>
  <c r="V34" i="3" s="1"/>
  <c r="V36" i="3" s="1"/>
  <c r="V37" i="3" s="1"/>
  <c r="X18" i="3"/>
  <c r="W32" i="3"/>
  <c r="X32" i="1"/>
  <c r="T36" i="1"/>
  <c r="T37" i="1" s="1"/>
  <c r="T42" i="1"/>
  <c r="T45" i="1" s="1"/>
  <c r="T46" i="1" s="1"/>
  <c r="W16" i="1"/>
  <c r="X32" i="3" l="1"/>
  <c r="Y18" i="3"/>
  <c r="V42" i="3"/>
  <c r="V45" i="3" s="1"/>
  <c r="V46" i="3" s="1"/>
  <c r="W34" i="3" s="1"/>
  <c r="W36" i="3" s="1"/>
  <c r="W37" i="3" s="1"/>
  <c r="Y32" i="1"/>
  <c r="U36" i="1"/>
  <c r="U37" i="1" s="1"/>
  <c r="U42" i="1"/>
  <c r="U45" i="1" s="1"/>
  <c r="U46" i="1" s="1"/>
  <c r="X16" i="1"/>
  <c r="W42" i="3" l="1"/>
  <c r="W45" i="3" s="1"/>
  <c r="W46" i="3" s="1"/>
  <c r="X34" i="3" s="1"/>
  <c r="X36" i="3" s="1"/>
  <c r="X37" i="3" s="1"/>
  <c r="Y32" i="3"/>
  <c r="Z18" i="3"/>
  <c r="Z32" i="1"/>
  <c r="V36" i="1"/>
  <c r="V37" i="1" s="1"/>
  <c r="V42" i="1"/>
  <c r="V45" i="1" s="1"/>
  <c r="V46" i="1" s="1"/>
  <c r="Y16" i="1"/>
  <c r="X42" i="3" l="1"/>
  <c r="X45" i="3" s="1"/>
  <c r="X46" i="3" s="1"/>
  <c r="Y34" i="3" s="1"/>
  <c r="Y36" i="3" s="1"/>
  <c r="Y37" i="3" s="1"/>
  <c r="AA18" i="3"/>
  <c r="Z32" i="3"/>
  <c r="AA32" i="1"/>
  <c r="W36" i="1"/>
  <c r="W37" i="1" s="1"/>
  <c r="W42" i="1"/>
  <c r="W45" i="1" s="1"/>
  <c r="W46" i="1" s="1"/>
  <c r="Z16" i="1"/>
  <c r="AB18" i="3" l="1"/>
  <c r="AA32" i="3"/>
  <c r="Y42" i="3"/>
  <c r="Y45" i="3" s="1"/>
  <c r="Y46" i="3" s="1"/>
  <c r="Z34" i="3" s="1"/>
  <c r="Z36" i="3" s="1"/>
  <c r="Z37" i="3" s="1"/>
  <c r="AB32" i="1"/>
  <c r="X36" i="1"/>
  <c r="X37" i="1" s="1"/>
  <c r="X42" i="1"/>
  <c r="X45" i="1" s="1"/>
  <c r="X46" i="1" s="1"/>
  <c r="Y36" i="1" s="1"/>
  <c r="AA16" i="1"/>
  <c r="AC18" i="3" l="1"/>
  <c r="AB32" i="3"/>
  <c r="Z42" i="3"/>
  <c r="Z45" i="3" s="1"/>
  <c r="Z46" i="3" s="1"/>
  <c r="AA34" i="3" s="1"/>
  <c r="AA36" i="3" s="1"/>
  <c r="AA37" i="3" s="1"/>
  <c r="AC32" i="1"/>
  <c r="Y37" i="1"/>
  <c r="Y42" i="1"/>
  <c r="Y45" i="1" s="1"/>
  <c r="Y46" i="1" s="1"/>
  <c r="Z36" i="1" s="1"/>
  <c r="Z37" i="1" s="1"/>
  <c r="AB16" i="1"/>
  <c r="AD18" i="3" l="1"/>
  <c r="AC32" i="3"/>
  <c r="AA42" i="3"/>
  <c r="AA45" i="3" s="1"/>
  <c r="AA46" i="3" s="1"/>
  <c r="AB34" i="3" s="1"/>
  <c r="AB36" i="3" s="1"/>
  <c r="AB37" i="3" s="1"/>
  <c r="AD32" i="1"/>
  <c r="Z42" i="1"/>
  <c r="Z45" i="1" s="1"/>
  <c r="Z46" i="1" s="1"/>
  <c r="AC16" i="1"/>
  <c r="AB42" i="3" l="1"/>
  <c r="AB45" i="3" s="1"/>
  <c r="AB46" i="3" s="1"/>
  <c r="AC34" i="3" s="1"/>
  <c r="AC36" i="3" s="1"/>
  <c r="AC37" i="3" s="1"/>
  <c r="AE18" i="3"/>
  <c r="AD32" i="3"/>
  <c r="AE32" i="1"/>
  <c r="AA36" i="1"/>
  <c r="AA37" i="1" s="1"/>
  <c r="AA42" i="1"/>
  <c r="AA45" i="1" s="1"/>
  <c r="AA46" i="1" s="1"/>
  <c r="AD16" i="1"/>
  <c r="AE32" i="3" l="1"/>
  <c r="AF18" i="3"/>
  <c r="AF32" i="3" s="1"/>
  <c r="AC42" i="3"/>
  <c r="AC45" i="3" s="1"/>
  <c r="AC46" i="3" s="1"/>
  <c r="AD34" i="3" s="1"/>
  <c r="AD36" i="3" s="1"/>
  <c r="AD37" i="3" s="1"/>
  <c r="AF32" i="1"/>
  <c r="AB36" i="1"/>
  <c r="AB37" i="1" s="1"/>
  <c r="AB42" i="1"/>
  <c r="AB45" i="1" s="1"/>
  <c r="AB46" i="1" s="1"/>
  <c r="AE16" i="1"/>
  <c r="AE42" i="3" l="1"/>
  <c r="AE45" i="3" s="1"/>
  <c r="AE46" i="3" s="1"/>
  <c r="AF34" i="3" s="1"/>
  <c r="AF36" i="3" s="1"/>
  <c r="AD42" i="3"/>
  <c r="AD45" i="3" s="1"/>
  <c r="AD46" i="3" s="1"/>
  <c r="AE34" i="3" s="1"/>
  <c r="AE36" i="3" s="1"/>
  <c r="AE37" i="3" s="1"/>
  <c r="AC36" i="1"/>
  <c r="AC37" i="1" s="1"/>
  <c r="AC42" i="1"/>
  <c r="AC45" i="1" s="1"/>
  <c r="AC46" i="1" s="1"/>
  <c r="AF16" i="1"/>
  <c r="B51" i="3" l="1"/>
  <c r="AF37" i="3"/>
  <c r="AD36" i="1"/>
  <c r="AD37" i="1" s="1"/>
  <c r="AD42" i="1"/>
  <c r="AD45" i="1" s="1"/>
  <c r="AD46" i="1" s="1"/>
  <c r="AE42" i="1"/>
  <c r="AE45" i="1" s="1"/>
  <c r="AE46" i="1" s="1"/>
  <c r="AF36" i="1" l="1"/>
  <c r="AE36" i="1"/>
  <c r="AE37" i="1" s="1"/>
  <c r="B51" i="1" l="1"/>
  <c r="AF37" i="1"/>
  <c r="M8" i="2" l="1"/>
  <c r="N8" i="2" s="1"/>
  <c r="M7" i="2"/>
  <c r="N7" i="2" s="1"/>
  <c r="M6" i="2"/>
  <c r="N6" i="2" s="1"/>
  <c r="N5" i="2"/>
  <c r="M5" i="2"/>
  <c r="M4" i="2"/>
  <c r="N4" i="2" s="1"/>
  <c r="N10" i="2" l="1"/>
  <c r="C28" i="2"/>
  <c r="D28" i="2" s="1"/>
  <c r="C27" i="2"/>
  <c r="D27" i="2" s="1"/>
  <c r="D26" i="2"/>
  <c r="C26" i="2"/>
  <c r="C25" i="2"/>
  <c r="D25" i="2" s="1"/>
  <c r="C24" i="2"/>
  <c r="D24" i="2" s="1"/>
  <c r="C16" i="2"/>
  <c r="C15" i="2"/>
  <c r="C29" i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B21" i="4" l="1"/>
  <c r="B101" i="4" s="1"/>
  <c r="B21" i="1"/>
  <c r="D30" i="2"/>
  <c r="B50" i="1" l="1"/>
  <c r="B49" i="1"/>
  <c r="B4" i="1"/>
  <c r="B49" i="3"/>
  <c r="B4" i="3"/>
  <c r="B50" i="3"/>
  <c r="K120" i="3" l="1"/>
  <c r="F128" i="3" s="1"/>
  <c r="G128" i="3" s="1"/>
  <c r="D78" i="3"/>
  <c r="M120" i="3"/>
  <c r="F129" i="3" s="1"/>
  <c r="G129" i="3" s="1"/>
  <c r="G120" i="3"/>
  <c r="F126" i="3" s="1"/>
  <c r="G126" i="3" s="1"/>
  <c r="I120" i="3"/>
  <c r="F127" i="3" s="1"/>
  <c r="G127" i="3" s="1"/>
  <c r="E120" i="3"/>
  <c r="F125" i="3" s="1"/>
  <c r="G125" i="3" s="1"/>
  <c r="D92" i="3"/>
  <c r="D107" i="3"/>
  <c r="D64" i="3"/>
  <c r="I125" i="3" l="1"/>
  <c r="I127" i="3"/>
  <c r="I126" i="3"/>
  <c r="I128" i="3"/>
  <c r="I129" i="3"/>
  <c r="K125" i="3" l="1"/>
  <c r="L125" i="3" s="1"/>
  <c r="J125" i="3"/>
  <c r="K126" i="3"/>
  <c r="L126" i="3" s="1"/>
  <c r="J126" i="3"/>
  <c r="J129" i="3"/>
  <c r="K129" i="3"/>
  <c r="L129" i="3" s="1"/>
  <c r="J128" i="3"/>
  <c r="K128" i="3"/>
  <c r="L128" i="3" s="1"/>
  <c r="J127" i="3"/>
  <c r="K127" i="3"/>
  <c r="L127" i="3" s="1"/>
</calcChain>
</file>

<file path=xl/sharedStrings.xml><?xml version="1.0" encoding="utf-8"?>
<sst xmlns="http://schemas.openxmlformats.org/spreadsheetml/2006/main" count="202" uniqueCount="91">
  <si>
    <t>Assumptions</t>
  </si>
  <si>
    <t>Net Present value</t>
  </si>
  <si>
    <t>Initial investment</t>
  </si>
  <si>
    <t>Discounted Cash Flow</t>
  </si>
  <si>
    <t>Total revenue</t>
  </si>
  <si>
    <t>Total costs</t>
  </si>
  <si>
    <t>Cash flow</t>
  </si>
  <si>
    <t>Present value</t>
  </si>
  <si>
    <t>Sum of PV Cash flow</t>
  </si>
  <si>
    <t>IRR</t>
  </si>
  <si>
    <t>The discount rate</t>
  </si>
  <si>
    <t>Information provided in the case:</t>
  </si>
  <si>
    <t>Percentage of financing that is equity</t>
  </si>
  <si>
    <t>E/V</t>
  </si>
  <si>
    <t>Percentage of financing that is DEBT</t>
  </si>
  <si>
    <t>D/V</t>
  </si>
  <si>
    <t>Cost of debt</t>
  </si>
  <si>
    <t>r_d</t>
  </si>
  <si>
    <t>Tax rate</t>
  </si>
  <si>
    <t>We also need:</t>
  </si>
  <si>
    <t>Risk free rate</t>
  </si>
  <si>
    <t>r_f</t>
  </si>
  <si>
    <t>Unlevered industry beta</t>
  </si>
  <si>
    <t>b_u</t>
  </si>
  <si>
    <t>Market risk premium</t>
  </si>
  <si>
    <t>Calculations:</t>
  </si>
  <si>
    <t>D/E</t>
  </si>
  <si>
    <t>Relevered beta:</t>
  </si>
  <si>
    <t>b_a</t>
  </si>
  <si>
    <t>Required return on Equity CAPM</t>
  </si>
  <si>
    <t>r_E</t>
  </si>
  <si>
    <t>WACC:</t>
  </si>
  <si>
    <t>Net yearly cashflow</t>
  </si>
  <si>
    <t xml:space="preserve">r_m </t>
  </si>
  <si>
    <t>https://www.nordpoolgroup.com/en/Market-data1/Dayahead/Area-Prices/NO/Daily1/?view=table</t>
  </si>
  <si>
    <t>EUR/MWH</t>
  </si>
  <si>
    <t>EUR/KWH</t>
  </si>
  <si>
    <t>Nok/kwh</t>
  </si>
  <si>
    <t>western part of norway (Bergen)</t>
  </si>
  <si>
    <t xml:space="preserve">Green and renewables from Damodaran's website for Western Europe </t>
  </si>
  <si>
    <t>Electricity price from Nordpool</t>
  </si>
  <si>
    <t>Bergen area</t>
  </si>
  <si>
    <t>Average spot price</t>
  </si>
  <si>
    <t>Overhead cost annually</t>
  </si>
  <si>
    <t>Project life time</t>
  </si>
  <si>
    <t>yrs</t>
  </si>
  <si>
    <t>Expected energy output</t>
  </si>
  <si>
    <t>KWh</t>
  </si>
  <si>
    <t>Efficiency loss annually</t>
  </si>
  <si>
    <t>Discount rate</t>
  </si>
  <si>
    <t>Year</t>
  </si>
  <si>
    <t>Tax</t>
  </si>
  <si>
    <t>Depreciation</t>
  </si>
  <si>
    <t>Tax support calculation</t>
  </si>
  <si>
    <t>Total cost</t>
  </si>
  <si>
    <t>Taxable amount</t>
  </si>
  <si>
    <t>Total revenue from electricity sold</t>
  </si>
  <si>
    <t>Nordpool spot price with 2.5% increase</t>
  </si>
  <si>
    <t>Nordpool spot price with 2.5% increase, cubic growth from 2030</t>
  </si>
  <si>
    <t>Sensitivity to changes in the discount rate</t>
  </si>
  <si>
    <t>∆</t>
  </si>
  <si>
    <t>Sensitivity analysis</t>
  </si>
  <si>
    <t>Sensitivity to changes in expected production</t>
  </si>
  <si>
    <t>Expected production (kWh)</t>
  </si>
  <si>
    <t>Sensitivity to changes in power price growth rate</t>
  </si>
  <si>
    <t>Sensitivity to changes in initial investment</t>
  </si>
  <si>
    <t>Investment cost</t>
  </si>
  <si>
    <t>Change</t>
  </si>
  <si>
    <t>NPV</t>
  </si>
  <si>
    <t xml:space="preserve"> % change</t>
  </si>
  <si>
    <t>Abs change</t>
  </si>
  <si>
    <t>Rank</t>
  </si>
  <si>
    <t>Output</t>
  </si>
  <si>
    <t>Driver</t>
  </si>
  <si>
    <t>Pos</t>
  </si>
  <si>
    <t>Neg</t>
  </si>
  <si>
    <t>Discount rate +/-1%</t>
  </si>
  <si>
    <t>Total costs +/-5%</t>
  </si>
  <si>
    <t>Expected production</t>
  </si>
  <si>
    <t>Power price growth</t>
  </si>
  <si>
    <t>Expected production +/- 5%</t>
  </si>
  <si>
    <t>Power price growth +/- 1%</t>
  </si>
  <si>
    <t>Initial investment +/-10%</t>
  </si>
  <si>
    <t>Live case</t>
  </si>
  <si>
    <t>Base case</t>
  </si>
  <si>
    <t>Best case</t>
  </si>
  <si>
    <t>Worst case</t>
  </si>
  <si>
    <t>Nordpool spot price with 2.5% increase, quadratic growth from 2030</t>
  </si>
  <si>
    <t>PwC-report</t>
  </si>
  <si>
    <t>Norwegian 10 yr bond</t>
  </si>
  <si>
    <t>Expected power price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</si>
</sst>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_-;\(#,##0.0\)_-;_-* &quot;-&quot;_-;_-@_-"/>
    <numFmt numFmtId="167" formatCode="_-[$$-409]* #,##0_ ;_-[$$-409]* \-#,##0\ ;_-[$$-409]* &quot;-&quot;??_ ;_-@_ "/>
    <numFmt numFmtId="168" formatCode="_-* #,##0_-;\(#,##0\)_-;_-* &quot;-&quot;_-;_-@_-"/>
    <numFmt numFmtId="169" formatCode="_-* #,##0_-;\-* #,##0_-;_-* &quot;-&quot;??_-;_-@_-"/>
    <numFmt numFmtId="170" formatCode="_-[$$-409]* #,##0.0000_ ;_-[$$-409]* \-#,##0.0000\ ;_-[$$-409]* &quot;-&quot;??_ ;_-@_ "/>
    <numFmt numFmtId="171" formatCode="_-[$$-409]* #,##0.00_ ;_-[$$-409]* \-#,##0.00\ ;_-[$$-409]* &quot;-&quot;??_ ;_-@_ "/>
    <numFmt numFmtId="172" formatCode="0.0%"/>
    <numFmt numFmtId="173" formatCode="_(* #,##0_);_(* \(#,##0\);_(* &quot;-&quot;??_);_(@_)"/>
    <numFmt numFmtId="174" formatCode="[$kr-414]\ #,##0"/>
    <numFmt numFmtId="175" formatCode="_-* #,##0.00_-;\(#,##0.00\)_-;_-* &quot;-&quot;_-;_-@_-"/>
    <numFmt numFmtId="176" formatCode="[$kr-414]\ #,##0.00"/>
    <numFmt numFmtId="177" formatCode="_-&quot;kr&quot;\ * #,##0_-;\-&quot;kr&quot;\ * #,##0_-;_-&quot;kr&quot;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Open San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2" tint="-0.249977111117893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4" fillId="2" borderId="0" xfId="0" applyFont="1" applyFill="1"/>
    <xf numFmtId="3" fontId="4" fillId="2" borderId="0" xfId="0" applyNumberFormat="1" applyFont="1" applyFill="1"/>
    <xf numFmtId="3" fontId="0" fillId="0" borderId="0" xfId="0" applyNumberFormat="1"/>
    <xf numFmtId="2" fontId="0" fillId="0" borderId="0" xfId="0" applyNumberFormat="1"/>
    <xf numFmtId="10" fontId="0" fillId="0" borderId="4" xfId="3" applyNumberFormat="1" applyFont="1" applyBorder="1"/>
    <xf numFmtId="0" fontId="3" fillId="0" borderId="0" xfId="0" applyFont="1"/>
    <xf numFmtId="9" fontId="0" fillId="0" borderId="0" xfId="3" applyFont="1"/>
    <xf numFmtId="10" fontId="0" fillId="0" borderId="0" xfId="3" applyNumberFormat="1" applyFont="1"/>
    <xf numFmtId="165" fontId="0" fillId="0" borderId="0" xfId="1" applyFont="1"/>
    <xf numFmtId="172" fontId="0" fillId="0" borderId="0" xfId="3" applyNumberFormat="1" applyFont="1"/>
    <xf numFmtId="1" fontId="0" fillId="0" borderId="0" xfId="0" applyNumberFormat="1"/>
    <xf numFmtId="0" fontId="8" fillId="0" borderId="0" xfId="4"/>
    <xf numFmtId="10" fontId="3" fillId="0" borderId="0" xfId="3" applyNumberFormat="1" applyFont="1"/>
    <xf numFmtId="0" fontId="0" fillId="0" borderId="0" xfId="0" applyAlignment="1">
      <alignment horizontal="center"/>
    </xf>
    <xf numFmtId="0" fontId="0" fillId="0" borderId="5" xfId="0" applyBorder="1"/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/>
    <xf numFmtId="166" fontId="0" fillId="0" borderId="0" xfId="1" applyNumberFormat="1" applyFont="1" applyFill="1" applyBorder="1" applyAlignment="1">
      <alignment horizontal="left"/>
    </xf>
    <xf numFmtId="0" fontId="0" fillId="0" borderId="0" xfId="0" applyAlignment="1">
      <alignment vertical="center"/>
    </xf>
    <xf numFmtId="167" fontId="0" fillId="0" borderId="0" xfId="0" applyNumberFormat="1"/>
    <xf numFmtId="0" fontId="0" fillId="0" borderId="4" xfId="0" applyBorder="1"/>
    <xf numFmtId="171" fontId="0" fillId="0" borderId="0" xfId="0" applyNumberFormat="1"/>
    <xf numFmtId="0" fontId="0" fillId="0" borderId="3" xfId="0" applyBorder="1"/>
    <xf numFmtId="0" fontId="10" fillId="2" borderId="0" xfId="0" applyFont="1" applyFill="1"/>
    <xf numFmtId="0" fontId="11" fillId="2" borderId="0" xfId="0" applyFont="1" applyFill="1"/>
    <xf numFmtId="3" fontId="11" fillId="2" borderId="0" xfId="0" applyNumberFormat="1" applyFont="1" applyFill="1"/>
    <xf numFmtId="168" fontId="12" fillId="3" borderId="0" xfId="1" applyNumberFormat="1" applyFont="1" applyFill="1" applyBorder="1"/>
    <xf numFmtId="174" fontId="0" fillId="0" borderId="0" xfId="1" applyNumberFormat="1" applyFont="1"/>
    <xf numFmtId="173" fontId="0" fillId="0" borderId="0" xfId="1" applyNumberFormat="1" applyFont="1"/>
    <xf numFmtId="10" fontId="0" fillId="0" borderId="0" xfId="0" applyNumberFormat="1"/>
    <xf numFmtId="0" fontId="0" fillId="4" borderId="0" xfId="1" applyNumberFormat="1" applyFont="1" applyFill="1"/>
    <xf numFmtId="0" fontId="0" fillId="0" borderId="0" xfId="1" applyNumberFormat="1" applyFont="1" applyFill="1"/>
    <xf numFmtId="168" fontId="12" fillId="0" borderId="0" xfId="1" applyNumberFormat="1" applyFont="1" applyFill="1" applyBorder="1" applyAlignment="1"/>
    <xf numFmtId="168" fontId="12" fillId="0" borderId="0" xfId="1" applyNumberFormat="1" applyFont="1" applyFill="1" applyBorder="1" applyAlignment="1">
      <alignment horizontal="center"/>
    </xf>
    <xf numFmtId="169" fontId="0" fillId="0" borderId="0" xfId="1" applyNumberFormat="1" applyFont="1" applyAlignment="1">
      <alignment vertical="center"/>
    </xf>
    <xf numFmtId="170" fontId="0" fillId="0" borderId="0" xfId="2" applyNumberFormat="1" applyFont="1" applyAlignment="1">
      <alignment vertical="center"/>
    </xf>
    <xf numFmtId="170" fontId="0" fillId="0" borderId="0" xfId="2" applyNumberFormat="1" applyFont="1"/>
    <xf numFmtId="166" fontId="12" fillId="3" borderId="0" xfId="1" applyNumberFormat="1" applyFont="1" applyFill="1" applyBorder="1" applyAlignment="1">
      <alignment horizontal="left"/>
    </xf>
    <xf numFmtId="1" fontId="12" fillId="3" borderId="0" xfId="1" applyNumberFormat="1" applyFont="1" applyFill="1" applyBorder="1" applyAlignment="1">
      <alignment horizontal="center"/>
    </xf>
    <xf numFmtId="0" fontId="11" fillId="0" borderId="0" xfId="0" applyFont="1"/>
    <xf numFmtId="0" fontId="14" fillId="0" borderId="0" xfId="0" applyFont="1"/>
    <xf numFmtId="175" fontId="1" fillId="0" borderId="0" xfId="1" applyNumberFormat="1" applyFont="1" applyFill="1" applyBorder="1" applyAlignment="1"/>
    <xf numFmtId="166" fontId="15" fillId="3" borderId="1" xfId="1" applyNumberFormat="1" applyFont="1" applyFill="1" applyBorder="1" applyAlignment="1">
      <alignment horizontal="left"/>
    </xf>
    <xf numFmtId="1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65" fontId="3" fillId="4" borderId="0" xfId="1" applyFont="1" applyFill="1" applyAlignment="1">
      <alignment horizontal="center"/>
    </xf>
    <xf numFmtId="0" fontId="0" fillId="4" borderId="0" xfId="1" applyNumberFormat="1" applyFont="1" applyFill="1" applyAlignment="1">
      <alignment horizontal="center"/>
    </xf>
    <xf numFmtId="166" fontId="12" fillId="0" borderId="0" xfId="1" applyNumberFormat="1" applyFont="1" applyFill="1" applyBorder="1" applyAlignment="1">
      <alignment horizontal="left"/>
    </xf>
    <xf numFmtId="1" fontId="12" fillId="0" borderId="0" xfId="1" applyNumberFormat="1" applyFont="1" applyFill="1" applyBorder="1" applyAlignment="1">
      <alignment horizontal="center"/>
    </xf>
    <xf numFmtId="168" fontId="13" fillId="0" borderId="0" xfId="1" applyNumberFormat="1" applyFont="1" applyFill="1" applyBorder="1"/>
    <xf numFmtId="14" fontId="13" fillId="0" borderId="0" xfId="1" applyNumberFormat="1" applyFont="1" applyFill="1" applyBorder="1"/>
    <xf numFmtId="0" fontId="0" fillId="0" borderId="0" xfId="1" applyNumberFormat="1" applyFont="1" applyFill="1" applyAlignment="1">
      <alignment horizontal="center"/>
    </xf>
    <xf numFmtId="166" fontId="2" fillId="0" borderId="0" xfId="1" applyNumberFormat="1" applyFont="1" applyFill="1" applyBorder="1" applyAlignment="1">
      <alignment horizontal="left"/>
    </xf>
    <xf numFmtId="176" fontId="0" fillId="0" borderId="0" xfId="0" applyNumberFormat="1"/>
    <xf numFmtId="174" fontId="0" fillId="0" borderId="2" xfId="0" applyNumberFormat="1" applyBorder="1"/>
    <xf numFmtId="174" fontId="0" fillId="0" borderId="0" xfId="0" applyNumberFormat="1"/>
    <xf numFmtId="174" fontId="12" fillId="3" borderId="0" xfId="1" applyNumberFormat="1" applyFont="1" applyFill="1" applyBorder="1"/>
    <xf numFmtId="174" fontId="14" fillId="0" borderId="0" xfId="0" applyNumberFormat="1" applyFont="1"/>
    <xf numFmtId="174" fontId="0" fillId="0" borderId="4" xfId="0" applyNumberFormat="1" applyBorder="1"/>
    <xf numFmtId="176" fontId="0" fillId="0" borderId="3" xfId="0" applyNumberFormat="1" applyBorder="1"/>
    <xf numFmtId="3" fontId="1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 vertical="center"/>
    </xf>
    <xf numFmtId="10" fontId="0" fillId="0" borderId="0" xfId="3" applyNumberFormat="1" applyFont="1" applyAlignment="1">
      <alignment horizontal="right" vertical="center"/>
    </xf>
    <xf numFmtId="177" fontId="17" fillId="0" borderId="0" xfId="0" applyNumberFormat="1" applyFont="1"/>
    <xf numFmtId="177" fontId="0" fillId="0" borderId="0" xfId="2" applyNumberFormat="1" applyFont="1"/>
    <xf numFmtId="177" fontId="0" fillId="0" borderId="0" xfId="2" applyNumberFormat="1" applyFont="1" applyAlignment="1">
      <alignment horizontal="right"/>
    </xf>
    <xf numFmtId="14" fontId="18" fillId="2" borderId="0" xfId="1" applyNumberFormat="1" applyFont="1" applyFill="1" applyBorder="1"/>
    <xf numFmtId="0" fontId="7" fillId="2" borderId="0" xfId="0" applyFont="1" applyFill="1"/>
    <xf numFmtId="171" fontId="7" fillId="2" borderId="0" xfId="0" applyNumberFormat="1" applyFont="1" applyFill="1"/>
    <xf numFmtId="169" fontId="0" fillId="0" borderId="0" xfId="3" applyNumberFormat="1" applyFont="1" applyAlignment="1">
      <alignment horizontal="right" vertical="center"/>
    </xf>
    <xf numFmtId="172" fontId="17" fillId="0" borderId="0" xfId="3" applyNumberFormat="1" applyFont="1" applyBorder="1"/>
    <xf numFmtId="172" fontId="17" fillId="0" borderId="0" xfId="3" applyNumberFormat="1" applyFont="1" applyFill="1" applyBorder="1"/>
    <xf numFmtId="9" fontId="17" fillId="0" borderId="0" xfId="3" applyFont="1" applyBorder="1"/>
    <xf numFmtId="9" fontId="17" fillId="0" borderId="0" xfId="3" applyFont="1" applyFill="1" applyBorder="1"/>
    <xf numFmtId="3" fontId="3" fillId="0" borderId="0" xfId="0" applyNumberFormat="1" applyFont="1" applyAlignment="1">
      <alignment horizontal="right" vertical="center"/>
    </xf>
    <xf numFmtId="172" fontId="0" fillId="0" borderId="0" xfId="3" applyNumberFormat="1" applyFont="1" applyAlignment="1">
      <alignment horizontal="right" vertical="center"/>
    </xf>
    <xf numFmtId="174" fontId="0" fillId="0" borderId="0" xfId="3" applyNumberFormat="1" applyFont="1" applyAlignment="1">
      <alignment horizontal="right" vertical="center"/>
    </xf>
    <xf numFmtId="0" fontId="9" fillId="7" borderId="0" xfId="0" applyFont="1" applyFill="1" applyAlignment="1">
      <alignment horizont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0" fillId="0" borderId="0" xfId="3" applyFont="1" applyBorder="1" applyAlignment="1">
      <alignment horizontal="center" vertical="center"/>
    </xf>
    <xf numFmtId="0" fontId="19" fillId="6" borderId="0" xfId="0" applyFont="1" applyFill="1"/>
    <xf numFmtId="10" fontId="0" fillId="0" borderId="0" xfId="3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left"/>
    </xf>
    <xf numFmtId="0" fontId="0" fillId="0" borderId="0" xfId="1" applyNumberFormat="1" applyFont="1"/>
    <xf numFmtId="168" fontId="6" fillId="3" borderId="0" xfId="1" applyNumberFormat="1" applyFont="1" applyFill="1" applyBorder="1"/>
    <xf numFmtId="0" fontId="2" fillId="0" borderId="0" xfId="0" applyFont="1"/>
    <xf numFmtId="0" fontId="3" fillId="0" borderId="0" xfId="0" applyFont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168" fontId="5" fillId="5" borderId="0" xfId="1" applyNumberFormat="1" applyFont="1" applyFill="1" applyBorder="1" applyAlignment="1">
      <alignment horizontal="center"/>
    </xf>
    <xf numFmtId="0" fontId="19" fillId="6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yearly cashflow and projected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68125698789161"/>
          <c:y val="0.14210727969348658"/>
          <c:w val="0.58638285320075167"/>
          <c:h val="0.64977500902370233"/>
        </c:manualLayout>
      </c:layout>
      <c:barChart>
        <c:barDir val="col"/>
        <c:grouping val="stacked"/>
        <c:varyColors val="0"/>
        <c:ser>
          <c:idx val="1"/>
          <c:order val="1"/>
          <c:tx>
            <c:v>Projected revenue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'DCF model'!$C$32:$AF$32</c:f>
              <c:numCache>
                <c:formatCode>[$kr-414]\ #,##0</c:formatCode>
                <c:ptCount val="30"/>
                <c:pt idx="0">
                  <c:v>50700000</c:v>
                </c:pt>
                <c:pt idx="1">
                  <c:v>51707662.5</c:v>
                </c:pt>
                <c:pt idx="2">
                  <c:v>52735352.292187497</c:v>
                </c:pt>
                <c:pt idx="3">
                  <c:v>53783467.418994717</c:v>
                </c:pt>
                <c:pt idx="4">
                  <c:v>54852413.833947234</c:v>
                </c:pt>
                <c:pt idx="5">
                  <c:v>55942605.558896929</c:v>
                </c:pt>
                <c:pt idx="6">
                  <c:v>57054464.844379999</c:v>
                </c:pt>
                <c:pt idx="7">
                  <c:v>61134211.213778377</c:v>
                </c:pt>
                <c:pt idx="8">
                  <c:v>65505684.62827336</c:v>
                </c:pt>
                <c:pt idx="9">
                  <c:v>70189745.372092217</c:v>
                </c:pt>
                <c:pt idx="10">
                  <c:v>75208745.36853151</c:v>
                </c:pt>
                <c:pt idx="11">
                  <c:v>80586634.841356829</c:v>
                </c:pt>
                <c:pt idx="12">
                  <c:v>86349076.603150755</c:v>
                </c:pt>
                <c:pt idx="13">
                  <c:v>92523568.515983164</c:v>
                </c:pt>
                <c:pt idx="14">
                  <c:v>99139574.708775386</c:v>
                </c:pt>
                <c:pt idx="15">
                  <c:v>106228666.17751548</c:v>
                </c:pt>
                <c:pt idx="16">
                  <c:v>113824671.43925689</c:v>
                </c:pt>
                <c:pt idx="17">
                  <c:v>121963837.9588078</c:v>
                </c:pt>
                <c:pt idx="18">
                  <c:v>130685005.11842494</c:v>
                </c:pt>
                <c:pt idx="19">
                  <c:v>140029789.55590826</c:v>
                </c:pt>
                <c:pt idx="20">
                  <c:v>150042783.7555131</c:v>
                </c:pt>
                <c:pt idx="21">
                  <c:v>160771768.83933824</c:v>
                </c:pt>
                <c:pt idx="22">
                  <c:v>172267942.57461172</c:v>
                </c:pt>
                <c:pt idx="23">
                  <c:v>184586163.68490452</c:v>
                </c:pt>
                <c:pt idx="24">
                  <c:v>197785213.63110414</c:v>
                </c:pt>
                <c:pt idx="25">
                  <c:v>211928077.11134341</c:v>
                </c:pt>
                <c:pt idx="26">
                  <c:v>227082242.61840534</c:v>
                </c:pt>
                <c:pt idx="27">
                  <c:v>243320024.48883745</c:v>
                </c:pt>
                <c:pt idx="28">
                  <c:v>260718907.9805654</c:v>
                </c:pt>
                <c:pt idx="29">
                  <c:v>279361919.02568597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9F-4896-B930-9DC9FDC77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1969216"/>
        <c:axId val="481965856"/>
      </c:barChart>
      <c:lineChart>
        <c:grouping val="standard"/>
        <c:varyColors val="0"/>
        <c:ser>
          <c:idx val="0"/>
          <c:order val="0"/>
          <c:tx>
            <c:v>Net yearly cashflow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'DCF model'!$B$29:$AF$29</c:f>
              <c:numCache>
                <c:formatCode>0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'DCF model'!$B$37:$AF$37</c:f>
              <c:numCache>
                <c:formatCode>[$kr-414]\ #,##0</c:formatCode>
                <c:ptCount val="31"/>
                <c:pt idx="0">
                  <c:v>-500000000</c:v>
                </c:pt>
                <c:pt idx="1">
                  <c:v>-462247333.33333331</c:v>
                </c:pt>
                <c:pt idx="2">
                  <c:v>-423708689.91666663</c:v>
                </c:pt>
                <c:pt idx="3">
                  <c:v>-384368448.46209371</c:v>
                </c:pt>
                <c:pt idx="4">
                  <c:v>-344210677.20861119</c:v>
                </c:pt>
                <c:pt idx="5">
                  <c:v>-303219127.75146568</c:v>
                </c:pt>
                <c:pt idx="6">
                  <c:v>-261377228.74885941</c:v>
                </c:pt>
                <c:pt idx="7">
                  <c:v>-218668079.50357634</c:v>
                </c:pt>
                <c:pt idx="8">
                  <c:v>-172776728.09016255</c:v>
                </c:pt>
                <c:pt idx="9">
                  <c:v>-123475627.41344266</c:v>
                </c:pt>
                <c:pt idx="10">
                  <c:v>-70520959.356544062</c:v>
                </c:pt>
                <c:pt idx="11">
                  <c:v>-13651471.302422822</c:v>
                </c:pt>
                <c:pt idx="12">
                  <c:v>47412770.540502168</c:v>
                </c:pt>
                <c:pt idx="13">
                  <c:v>112971716.95762643</c:v>
                </c:pt>
                <c:pt idx="14">
                  <c:v>183346767.06675997</c:v>
                </c:pt>
                <c:pt idx="15">
                  <c:v>258882302.00627142</c:v>
                </c:pt>
                <c:pt idx="16">
                  <c:v>339947328.29140019</c:v>
                </c:pt>
                <c:pt idx="17">
                  <c:v>426937238.68068725</c:v>
                </c:pt>
                <c:pt idx="18">
                  <c:v>520275698.95522398</c:v>
                </c:pt>
                <c:pt idx="19">
                  <c:v>620416669.6142621</c:v>
                </c:pt>
                <c:pt idx="20">
                  <c:v>727846572.13453722</c:v>
                </c:pt>
                <c:pt idx="21">
                  <c:v>843086610.13050413</c:v>
                </c:pt>
                <c:pt idx="22">
                  <c:v>966695256.49185467</c:v>
                </c:pt>
                <c:pt idx="23">
                  <c:v>1099270918.3667185</c:v>
                </c:pt>
                <c:pt idx="24">
                  <c:v>1241454792.7076106</c:v>
                </c:pt>
                <c:pt idx="25">
                  <c:v>1393933926.0065384</c:v>
                </c:pt>
                <c:pt idx="26">
                  <c:v>1557444492.8200529</c:v>
                </c:pt>
                <c:pt idx="27">
                  <c:v>1732775308.7290757</c:v>
                </c:pt>
                <c:pt idx="28">
                  <c:v>1920771594.4970355</c:v>
                </c:pt>
                <c:pt idx="29">
                  <c:v>2122339009.3885431</c:v>
                </c:pt>
                <c:pt idx="30">
                  <c:v>2338447972.8952446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F-4896-B930-9DC9FDC77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975936"/>
        <c:axId val="481951456"/>
      </c:lineChart>
      <c:catAx>
        <c:axId val="4819759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51456"/>
        <c:crosses val="autoZero"/>
        <c:auto val="1"/>
        <c:lblAlgn val="ctr"/>
        <c:lblOffset val="100"/>
        <c:noMultiLvlLbl val="0"/>
      </c:catAx>
      <c:valAx>
        <c:axId val="48195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yearly cashflow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kr-414]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75936"/>
        <c:crosses val="autoZero"/>
        <c:crossBetween val="between"/>
      </c:valAx>
      <c:valAx>
        <c:axId val="481965856"/>
        <c:scaling>
          <c:orientation val="minMax"/>
        </c:scaling>
        <c:delete val="0"/>
        <c:axPos val="r"/>
        <c:numFmt formatCode="[$kr-414]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69216"/>
        <c:crosses val="max"/>
        <c:crossBetween val="between"/>
      </c:valAx>
      <c:catAx>
        <c:axId val="481969216"/>
        <c:scaling>
          <c:orientation val="minMax"/>
        </c:scaling>
        <c:delete val="1"/>
        <c:axPos val="t"/>
        <c:majorTickMark val="out"/>
        <c:minorTickMark val="none"/>
        <c:tickLblPos val="nextTo"/>
        <c:crossAx val="48196585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431919499488553"/>
          <c:y val="0.84761386575404729"/>
          <c:w val="0.24698437193671957"/>
          <c:h val="0.12483275658503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changes in Discount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Sensitivity changes in Disoucnt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101600" sx="111000" sy="111000" algn="ctr" rotWithShape="0">
                  <a:schemeClr val="accent1">
                    <a:alpha val="7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FC-4A8D-B13B-819A947DC267}"/>
              </c:ext>
            </c:extLst>
          </c:dPt>
          <c:cat>
            <c:numRef>
              <c:f>'Sensitivity Analysis'!$E$61:$M$61</c:f>
              <c:numCache>
                <c:formatCode>0.0%</c:formatCode>
                <c:ptCount val="9"/>
                <c:pt idx="0">
                  <c:v>-0.02</c:v>
                </c:pt>
                <c:pt idx="1">
                  <c:v>-1.4999999999999999E-2</c:v>
                </c:pt>
                <c:pt idx="2">
                  <c:v>-0.01</c:v>
                </c:pt>
                <c:pt idx="3">
                  <c:v>-5.0000000000000001E-3</c:v>
                </c:pt>
                <c:pt idx="4">
                  <c:v>0</c:v>
                </c:pt>
                <c:pt idx="5">
                  <c:v>5.0000000000000001E-3</c:v>
                </c:pt>
                <c:pt idx="6">
                  <c:v>0.01</c:v>
                </c:pt>
                <c:pt idx="7">
                  <c:v>1.4999999999999999E-2</c:v>
                </c:pt>
                <c:pt idx="8">
                  <c:v>0.02</c:v>
                </c:pt>
              </c:numCache>
            </c:numRef>
          </c:cat>
          <c:val>
            <c:numRef>
              <c:f>'Sensitivity Analysis'!$E$64:$M$64</c:f>
              <c:numCache>
                <c:formatCode>_-"kr"\ * #,##0_-;\-"kr"\ * #,##0_-;_-"kr"\ * "-"??_-;_-@_-</c:formatCode>
                <c:ptCount val="9"/>
                <c:pt idx="0">
                  <c:v>607787328.32520461</c:v>
                </c:pt>
                <c:pt idx="1">
                  <c:v>525165697.34764898</c:v>
                </c:pt>
                <c:pt idx="2">
                  <c:v>450698559.12847996</c:v>
                </c:pt>
                <c:pt idx="3">
                  <c:v>383473467.03037</c:v>
                </c:pt>
                <c:pt idx="4">
                  <c:v>322688551.61248195</c:v>
                </c:pt>
                <c:pt idx="5">
                  <c:v>267638300.30348921</c:v>
                </c:pt>
                <c:pt idx="6">
                  <c:v>217701255.98521936</c:v>
                </c:pt>
                <c:pt idx="7">
                  <c:v>172329364.68848753</c:v>
                </c:pt>
                <c:pt idx="8">
                  <c:v>131038741.93676865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C-4A8D-B13B-819A947DC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949424"/>
        <c:axId val="529941264"/>
      </c:barChart>
      <c:catAx>
        <c:axId val="529949424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41264"/>
        <c:crosses val="autoZero"/>
        <c:auto val="1"/>
        <c:lblAlgn val="ctr"/>
        <c:lblOffset val="100"/>
        <c:noMultiLvlLbl val="0"/>
      </c:catAx>
      <c:valAx>
        <c:axId val="5299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Present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&quot;kr&quot;\ * #,##0_-;\-&quot;kr&quot;\ * #,##0_-;_-&quot;kr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Sensitivity changes in expected output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8000" sy="108000" algn="ctr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73-4F8D-A3F1-05D3DCD34325}"/>
              </c:ext>
            </c:extLst>
          </c:dPt>
          <c:cat>
            <c:numRef>
              <c:f>'Sensitivity Analysis'!$E$75:$M$75</c:f>
              <c:numCache>
                <c:formatCode>0%</c:formatCode>
                <c:ptCount val="9"/>
                <c:pt idx="0">
                  <c:v>-0.4</c:v>
                </c:pt>
                <c:pt idx="1">
                  <c:v>-0.3</c:v>
                </c:pt>
                <c:pt idx="2">
                  <c:v>-0.2</c:v>
                </c:pt>
                <c:pt idx="3">
                  <c:v>-0.1</c:v>
                </c:pt>
                <c:pt idx="4">
                  <c:v>0</c:v>
                </c:pt>
                <c:pt idx="5">
                  <c:v>0.1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</c:numCache>
            </c:numRef>
          </c:cat>
          <c:val>
            <c:numRef>
              <c:f>'Sensitivity Analysis'!$E$78:$M$78</c:f>
              <c:numCache>
                <c:formatCode>_-"kr"\ * #,##0_-;\-"kr"\ * #,##0_-;_-"kr"\ * "-"??_-;_-@_-</c:formatCode>
                <c:ptCount val="9"/>
                <c:pt idx="0">
                  <c:v>-15384605.783864319</c:v>
                </c:pt>
                <c:pt idx="1">
                  <c:v>69004252.485134244</c:v>
                </c:pt>
                <c:pt idx="2">
                  <c:v>153393110.75413311</c:v>
                </c:pt>
                <c:pt idx="3">
                  <c:v>237781969.02313173</c:v>
                </c:pt>
                <c:pt idx="4">
                  <c:v>322170827.29213035</c:v>
                </c:pt>
                <c:pt idx="5">
                  <c:v>406559685.56112885</c:v>
                </c:pt>
                <c:pt idx="6">
                  <c:v>490948543.83012795</c:v>
                </c:pt>
                <c:pt idx="7" formatCode="[$kr-414]\ #,##0">
                  <c:v>575337402.09912682</c:v>
                </c:pt>
                <c:pt idx="8" formatCode="[$kr-414]\ #,##0">
                  <c:v>659726260.36812544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73-4F8D-A3F1-05D3DCD3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949424"/>
        <c:axId val="529941264"/>
      </c:barChart>
      <c:catAx>
        <c:axId val="5299494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41264"/>
        <c:crosses val="autoZero"/>
        <c:auto val="1"/>
        <c:lblAlgn val="ctr"/>
        <c:lblOffset val="100"/>
        <c:noMultiLvlLbl val="0"/>
      </c:catAx>
      <c:valAx>
        <c:axId val="5299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Present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&quot;kr&quot;\ * #,##0_-;\-&quot;kr&quot;\ * #,##0_-;_-&quot;kr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Sensitivity changes in power price growth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16200000" sx="98000" sy="98000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26-4404-B979-D8A403F7A0EB}"/>
              </c:ext>
            </c:extLst>
          </c:dPt>
          <c:cat>
            <c:numRef>
              <c:f>'Sensitivity Analysis'!$E$89:$M$89</c:f>
              <c:numCache>
                <c:formatCode>0.0%</c:formatCode>
                <c:ptCount val="9"/>
                <c:pt idx="0">
                  <c:v>-0.02</c:v>
                </c:pt>
                <c:pt idx="1">
                  <c:v>-1.4999999999999999E-2</c:v>
                </c:pt>
                <c:pt idx="2">
                  <c:v>-0.01</c:v>
                </c:pt>
                <c:pt idx="3">
                  <c:v>-5.0000000000000001E-3</c:v>
                </c:pt>
                <c:pt idx="4">
                  <c:v>0</c:v>
                </c:pt>
                <c:pt idx="5">
                  <c:v>5.0000000000000001E-3</c:v>
                </c:pt>
                <c:pt idx="6">
                  <c:v>0.01</c:v>
                </c:pt>
                <c:pt idx="7">
                  <c:v>1.4999999999999999E-2</c:v>
                </c:pt>
                <c:pt idx="8">
                  <c:v>0.02</c:v>
                </c:pt>
              </c:numCache>
            </c:numRef>
          </c:cat>
          <c:val>
            <c:numRef>
              <c:f>'Sensitivity Analysis'!$E$92:$M$92</c:f>
              <c:numCache>
                <c:formatCode>_-"kr"\ * #,##0_-;\-"kr"\ * #,##0_-;_-"kr"\ * "-"??_-;_-@_-</c:formatCode>
                <c:ptCount val="9"/>
                <c:pt idx="0">
                  <c:v>-17085315.154294848</c:v>
                </c:pt>
                <c:pt idx="1">
                  <c:v>41840187.920350671</c:v>
                </c:pt>
                <c:pt idx="2">
                  <c:v>114990859.1310029</c:v>
                </c:pt>
                <c:pt idx="3">
                  <c:v>206577790.32856226</c:v>
                </c:pt>
                <c:pt idx="4">
                  <c:v>322170827.29213035</c:v>
                </c:pt>
                <c:pt idx="5">
                  <c:v>469156412.94037199</c:v>
                </c:pt>
                <c:pt idx="6">
                  <c:v>657353106.13729644</c:v>
                </c:pt>
                <c:pt idx="7">
                  <c:v>899839587.99411368</c:v>
                </c:pt>
                <c:pt idx="8">
                  <c:v>1214069050.7029388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26-4404-B979-D8A403F7A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949424"/>
        <c:axId val="529941264"/>
      </c:barChart>
      <c:catAx>
        <c:axId val="529949424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41264"/>
        <c:crosses val="autoZero"/>
        <c:auto val="1"/>
        <c:lblAlgn val="ctr"/>
        <c:lblOffset val="100"/>
        <c:noMultiLvlLbl val="0"/>
      </c:catAx>
      <c:valAx>
        <c:axId val="5299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Present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&quot;kr&quot;\ * #,##0_-;\-&quot;kr&quot;\ * #,##0_-;_-&quot;kr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815594458755137"/>
          <c:y val="0.1371174031930846"/>
          <c:w val="0.70572642701274835"/>
          <c:h val="0.73410837207137936"/>
        </c:manualLayout>
      </c:layout>
      <c:barChart>
        <c:barDir val="col"/>
        <c:grouping val="clustered"/>
        <c:varyColors val="0"/>
        <c:ser>
          <c:idx val="0"/>
          <c:order val="0"/>
          <c:tx>
            <c:v>Sensitivity change in initial investment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algn="ctr" rotWithShape="0">
                  <a:prstClr val="black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70-48C8-8558-08DEF34557D3}"/>
              </c:ext>
            </c:extLst>
          </c:dPt>
          <c:cat>
            <c:numRef>
              <c:f>'Sensitivity Analysis'!$E$104:$M$104</c:f>
              <c:numCache>
                <c:formatCode>0%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cat>
          <c:val>
            <c:numRef>
              <c:f>'Sensitivity Analysis'!$E$107:$M$107</c:f>
              <c:numCache>
                <c:formatCode>_-"kr"\ * #,##0_-;\-"kr"\ * #,##0_-;_-"kr"\ * "-"??_-;_-@_-</c:formatCode>
                <c:ptCount val="9"/>
                <c:pt idx="0">
                  <c:v>413289960.7725606</c:v>
                </c:pt>
                <c:pt idx="1">
                  <c:v>390510177.40245318</c:v>
                </c:pt>
                <c:pt idx="2">
                  <c:v>367730394.03234565</c:v>
                </c:pt>
                <c:pt idx="3">
                  <c:v>344950610.66223788</c:v>
                </c:pt>
                <c:pt idx="4">
                  <c:v>322170827.29213035</c:v>
                </c:pt>
                <c:pt idx="5">
                  <c:v>299391043.92202258</c:v>
                </c:pt>
                <c:pt idx="6">
                  <c:v>276611260.55191541</c:v>
                </c:pt>
                <c:pt idx="7" formatCode="[$kr-414]\ #,##0">
                  <c:v>253831477.18180764</c:v>
                </c:pt>
                <c:pt idx="8" formatCode="[$kr-414]\ #,##0">
                  <c:v>231051693.81169987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70-48C8-8558-08DEF3455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949424"/>
        <c:axId val="529941264"/>
      </c:barChart>
      <c:catAx>
        <c:axId val="5299494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41264"/>
        <c:crosses val="autoZero"/>
        <c:auto val="1"/>
        <c:lblAlgn val="ctr"/>
        <c:lblOffset val="100"/>
        <c:noMultiLvlLbl val="0"/>
      </c:catAx>
      <c:valAx>
        <c:axId val="5299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Present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&quot;kr&quot;\ * #,##0_-;\-&quot;kr&quot;\ * #,##0_-;_-&quot;kr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Impact on NPV by changes in assumptions</a:t>
            </a:r>
            <a:endParaRPr lang="en-US"/>
          </a:p>
        </c:rich>
      </c:tx>
      <c:layout>
        <c:manualLayout>
          <c:xMode val="edge"/>
          <c:yMode val="edge"/>
          <c:x val="0.37189306781486042"/>
          <c:y val="1.95648640716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Pros</c:v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'Sensitivity Analysis'!$J$125:$J$129</c:f>
              <c:strCache>
                <c:ptCount val="5"/>
                <c:pt idx="0">
                  <c:v>Total costs +/-5%</c:v>
                </c:pt>
                <c:pt idx="1">
                  <c:v>Initial investment +/-10%</c:v>
                </c:pt>
                <c:pt idx="2">
                  <c:v>Expected production +/- 5%</c:v>
                </c:pt>
                <c:pt idx="3">
                  <c:v>Discount rate +/-1%</c:v>
                </c:pt>
                <c:pt idx="4">
                  <c:v>Power price growth +/- 1%</c:v>
                </c:pt>
              </c:strCache>
            </c:strRef>
          </c:cat>
          <c:val>
            <c:numRef>
              <c:f>'Sensitivity Analysis'!$K$125:$K$129</c:f>
              <c:numCache>
                <c:formatCode>0.00%</c:formatCode>
                <c:ptCount val="5"/>
                <c:pt idx="0">
                  <c:v>1.0261960797547376E-2</c:v>
                </c:pt>
                <c:pt idx="1">
                  <c:v>7.0707157322633218E-2</c:v>
                </c:pt>
                <c:pt idx="2">
                  <c:v>0.13096911812017986</c:v>
                </c:pt>
                <c:pt idx="3">
                  <c:v>0.39697733470614072</c:v>
                </c:pt>
                <c:pt idx="4">
                  <c:v>0.64307488639642019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5-4609-90D0-1980E3BD1535}"/>
            </c:ext>
          </c:extLst>
        </c:ser>
        <c:ser>
          <c:idx val="1"/>
          <c:order val="1"/>
          <c:tx>
            <c:v>Cons</c:v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'Sensitivity Analysis'!$J$125:$J$129</c:f>
              <c:strCache>
                <c:ptCount val="5"/>
                <c:pt idx="0">
                  <c:v>Total costs +/-5%</c:v>
                </c:pt>
                <c:pt idx="1">
                  <c:v>Initial investment +/-10%</c:v>
                </c:pt>
                <c:pt idx="2">
                  <c:v>Expected production +/- 5%</c:v>
                </c:pt>
                <c:pt idx="3">
                  <c:v>Discount rate +/-1%</c:v>
                </c:pt>
                <c:pt idx="4">
                  <c:v>Power price growth +/- 1%</c:v>
                </c:pt>
              </c:strCache>
            </c:strRef>
          </c:cat>
          <c:val>
            <c:numRef>
              <c:f>'Sensitivity Analysis'!$L$125:$L$129</c:f>
              <c:numCache>
                <c:formatCode>0.00%</c:formatCode>
                <c:ptCount val="5"/>
                <c:pt idx="0">
                  <c:v>-1.0261960797547376E-2</c:v>
                </c:pt>
                <c:pt idx="1">
                  <c:v>-7.0707157322633218E-2</c:v>
                </c:pt>
                <c:pt idx="2">
                  <c:v>-0.13096911812017986</c:v>
                </c:pt>
                <c:pt idx="3">
                  <c:v>-0.39697733470614072</c:v>
                </c:pt>
                <c:pt idx="4">
                  <c:v>-0.64307488639642019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5-4609-90D0-1980E3BD1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4739672"/>
        <c:axId val="984736064"/>
      </c:barChart>
      <c:catAx>
        <c:axId val="984739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36064"/>
        <c:crosses val="autoZero"/>
        <c:auto val="1"/>
        <c:lblAlgn val="ctr"/>
        <c:lblOffset val="100"/>
        <c:noMultiLvlLbl val="0"/>
      </c:catAx>
      <c:valAx>
        <c:axId val="98473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396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311149</xdr:colOff>
      <xdr:row>0</xdr:row>
      <xdr:rowOff>133350</xdr:rowOff>
    </xdr:from>
    <xdr:to>
      <xdr:col>8</xdr:col>
      <xdr:colOff>571024</xdr:colOff>
      <xdr:row>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F5878-A6D4-41B3-A20A-C47F37D07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6849" y="133350"/>
          <a:ext cx="3307875" cy="482600"/>
        </a:xfrm>
        <a:prstGeom prst="rect">
          <a:avLst/>
        </a:prstGeom>
      </xdr:spPr>
    </xdr:pic>
    <xdr:clientData/>
  </xdr:twoCellAnchor>
  <xdr:twoCellAnchor>
    <xdr:from>
      <xdr:col>3</xdr:col>
      <xdr:colOff>247650</xdr:colOff>
      <xdr:row>14</xdr:row>
      <xdr:rowOff>6350</xdr:rowOff>
    </xdr:from>
    <xdr:to>
      <xdr:col>9</xdr:col>
      <xdr:colOff>162727</xdr:colOff>
      <xdr:row>17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94A81-B832-46FE-B805-2464E33FD78C}"/>
            </a:ext>
          </a:extLst>
        </xdr:cNvPr>
        <xdr:cNvSpPr txBox="1"/>
      </xdr:nvSpPr>
      <xdr:spPr>
        <a:xfrm>
          <a:off x="3943350" y="2635250"/>
          <a:ext cx="3572677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Beta (Unlevered) = Beta (levered)/ (1+ (1-tax) *</a:t>
          </a:r>
          <a:r>
            <a:rPr lang="en-US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(Debt/Equity))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682298</xdr:colOff>
      <xdr:row>47</xdr:row>
      <xdr:rowOff>172830</xdr:rowOff>
    </xdr:from>
    <xdr:to>
      <xdr:col>7</xdr:col>
      <xdr:colOff>289138</xdr:colOff>
      <xdr:row>66</xdr:row>
      <xdr:rowOff>96629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03BB5-FBB3-A88B-C78F-6EA5F7348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820965</xdr:colOff>
      <xdr:row>55</xdr:row>
      <xdr:rowOff>84363</xdr:rowOff>
    </xdr:from>
    <xdr:to>
      <xdr:col>17</xdr:col>
      <xdr:colOff>1074965</xdr:colOff>
      <xdr:row>70</xdr:row>
      <xdr:rowOff>97063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3EF18-3852-72E0-66CA-5035A018D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823407</xdr:colOff>
      <xdr:row>70</xdr:row>
      <xdr:rowOff>174450</xdr:rowOff>
    </xdr:from>
    <xdr:to>
      <xdr:col>17</xdr:col>
      <xdr:colOff>1077407</xdr:colOff>
      <xdr:row>86</xdr:row>
      <xdr:rowOff>1535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212268-2A00-4A13-BA0C-7A39D8E2A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791883</xdr:colOff>
      <xdr:row>87</xdr:row>
      <xdr:rowOff>52294</xdr:rowOff>
    </xdr:from>
    <xdr:to>
      <xdr:col>17</xdr:col>
      <xdr:colOff>1045883</xdr:colOff>
      <xdr:row>102</xdr:row>
      <xdr:rowOff>66144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7ECC1F-E5C7-4692-BBFC-FEFFF7D00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777668</xdr:colOff>
      <xdr:row>103</xdr:row>
      <xdr:rowOff>72983</xdr:rowOff>
    </xdr:from>
    <xdr:to>
      <xdr:col>17</xdr:col>
      <xdr:colOff>1030843</xdr:colOff>
      <xdr:row>118</xdr:row>
      <xdr:rowOff>95081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43916A-C924-4423-BFFA-DAC8B7F2B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1453490</xdr:colOff>
      <xdr:row>131</xdr:row>
      <xdr:rowOff>97725</xdr:rowOff>
    </xdr:from>
    <xdr:to>
      <xdr:col>10</xdr:col>
      <xdr:colOff>521195</xdr:colOff>
      <xdr:row>152</xdr:row>
      <xdr:rowOff>182462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72EE7B-1E95-4880-A839-1EB5207AB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3</xdr:row>
      <xdr:rowOff>139700</xdr:rowOff>
    </xdr:from>
    <xdr:to>
      <xdr:col>7</xdr:col>
      <xdr:colOff>400050</xdr:colOff>
      <xdr:row>9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CC7D49-BC7A-E9A2-5D41-84D320427E0F}"/>
            </a:ext>
          </a:extLst>
        </xdr:cNvPr>
        <xdr:cNvSpPr txBox="1"/>
      </xdr:nvSpPr>
      <xdr:spPr>
        <a:xfrm>
          <a:off x="6858000" y="793750"/>
          <a:ext cx="4470400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200" b="1">
              <a:latin typeface="+mn-lt"/>
            </a:rPr>
            <a:t>Base case: </a:t>
          </a:r>
          <a:r>
            <a:rPr lang="vi-VN" sz="1200">
              <a:latin typeface="+mn-lt"/>
            </a:rPr>
            <a:t>Base case with moderate growth of electricity price at 2.5%, cubic growth from 2030</a:t>
          </a:r>
        </a:p>
        <a:p>
          <a:r>
            <a:rPr lang="vi-VN" sz="1200" b="1">
              <a:latin typeface="+mn-lt"/>
            </a:rPr>
            <a:t>Best case: </a:t>
          </a:r>
          <a:r>
            <a:rPr lang="vi-VN" sz="1200">
              <a:latin typeface="+mn-lt"/>
            </a:rPr>
            <a:t>Strong growth of electricity price at 2.5%, quadratic growth from 2030; and 15% increase in expected output</a:t>
          </a:r>
        </a:p>
        <a:p>
          <a:r>
            <a:rPr lang="vi-VN" sz="1200" b="1">
              <a:latin typeface="+mn-lt"/>
            </a:rPr>
            <a:t>Worst case: </a:t>
          </a:r>
          <a:r>
            <a:rPr lang="vi-VN" sz="1200">
              <a:latin typeface="+mn-lt"/>
            </a:rPr>
            <a:t>Stagnate electricity price growth, 10% reduction in expected output, 10% increase in total cost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ordpoolgroup.com/en/Market-data1/Dayahead/Area-Prices/NO/Daily1/?view=table" TargetMode="External"/><Relationship Id="rId1" Type="http://schemas.openxmlformats.org/officeDocument/2006/relationships/hyperlink" Target="https://www.nordpoolgroup.com/en/Market-data1/Dayahead/Area-Prices/NO/Daily1/?view=tabl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684C-F2F2-4B24-A0E7-158502854F79}">
  <dimension ref="A1:N30"/>
  <sheetViews>
    <sheetView workbookViewId="0">
      <selection activeCell="K13" sqref="K13"/>
    </sheetView>
  </sheetViews>
  <sheetFormatPr defaultRowHeight="15" x14ac:dyDescent="0.25"/>
  <cols>
    <col min="1" max="1" width="31.85546875" bestFit="1" customWidth="1"/>
    <col min="3" max="3" width="12.42578125" bestFit="1" customWidth="1"/>
    <col min="10" max="10" width="31.85546875" bestFit="1" customWidth="1"/>
    <col min="11" max="11" width="33.85546875" customWidth="1"/>
    <col min="12" max="12" width="11.85546875" bestFit="1" customWidth="1"/>
  </cols>
  <sheetData>
    <row r="1" spans="1:14" ht="18.75" x14ac:dyDescent="0.3">
      <c r="A1" s="1" t="s">
        <v>10</v>
      </c>
      <c r="B1" s="2"/>
      <c r="C1" s="2"/>
      <c r="K1" s="1" t="s">
        <v>40</v>
      </c>
      <c r="L1" s="12" t="s">
        <v>34</v>
      </c>
    </row>
    <row r="3" spans="1:14" x14ac:dyDescent="0.25">
      <c r="A3" s="6" t="s">
        <v>11</v>
      </c>
      <c r="K3" s="90" t="s">
        <v>41</v>
      </c>
      <c r="L3" t="s">
        <v>35</v>
      </c>
      <c r="M3" t="s">
        <v>36</v>
      </c>
      <c r="N3" t="s">
        <v>37</v>
      </c>
    </row>
    <row r="4" spans="1:14" x14ac:dyDescent="0.25">
      <c r="A4" t="s">
        <v>12</v>
      </c>
      <c r="B4" t="s">
        <v>13</v>
      </c>
      <c r="C4" s="7">
        <v>0.2</v>
      </c>
      <c r="K4">
        <v>2021</v>
      </c>
      <c r="L4">
        <v>74.59</v>
      </c>
      <c r="M4">
        <f>L4/1000</f>
        <v>7.4590000000000004E-2</v>
      </c>
      <c r="N4">
        <f>10*M4</f>
        <v>0.74590000000000001</v>
      </c>
    </row>
    <row r="5" spans="1:14" x14ac:dyDescent="0.25">
      <c r="A5" t="s">
        <v>14</v>
      </c>
      <c r="B5" t="s">
        <v>15</v>
      </c>
      <c r="C5" s="7">
        <v>0.8</v>
      </c>
      <c r="K5">
        <v>2020</v>
      </c>
      <c r="L5">
        <v>9.17</v>
      </c>
      <c r="M5">
        <f t="shared" ref="M5:M8" si="0">L5/1000</f>
        <v>9.1699999999999993E-3</v>
      </c>
      <c r="N5">
        <f t="shared" ref="N5:N8" si="1">10*M5</f>
        <v>9.169999999999999E-2</v>
      </c>
    </row>
    <row r="6" spans="1:14" x14ac:dyDescent="0.25">
      <c r="A6" t="s">
        <v>16</v>
      </c>
      <c r="B6" t="s">
        <v>17</v>
      </c>
      <c r="C6" s="8">
        <v>0.06</v>
      </c>
      <c r="K6">
        <v>2019</v>
      </c>
      <c r="L6">
        <v>39.270000000000003</v>
      </c>
      <c r="M6">
        <f t="shared" si="0"/>
        <v>3.9270000000000006E-2</v>
      </c>
      <c r="N6">
        <f t="shared" si="1"/>
        <v>0.39270000000000005</v>
      </c>
    </row>
    <row r="7" spans="1:14" x14ac:dyDescent="0.25">
      <c r="A7" t="s">
        <v>18</v>
      </c>
      <c r="C7" s="8">
        <v>0.22</v>
      </c>
      <c r="K7">
        <v>2018</v>
      </c>
      <c r="L7">
        <v>43.05</v>
      </c>
      <c r="M7">
        <f t="shared" si="0"/>
        <v>4.3049999999999998E-2</v>
      </c>
      <c r="N7">
        <f t="shared" si="1"/>
        <v>0.43049999999999999</v>
      </c>
    </row>
    <row r="8" spans="1:14" x14ac:dyDescent="0.25">
      <c r="C8" s="8"/>
      <c r="K8">
        <v>2017</v>
      </c>
      <c r="L8">
        <v>28.84</v>
      </c>
      <c r="M8">
        <f t="shared" si="0"/>
        <v>2.8840000000000001E-2</v>
      </c>
      <c r="N8">
        <f t="shared" si="1"/>
        <v>0.28839999999999999</v>
      </c>
    </row>
    <row r="9" spans="1:14" x14ac:dyDescent="0.25">
      <c r="A9" s="6" t="s">
        <v>19</v>
      </c>
      <c r="C9" s="8"/>
    </row>
    <row r="10" spans="1:14" x14ac:dyDescent="0.25">
      <c r="A10" t="s">
        <v>20</v>
      </c>
      <c r="B10" t="s">
        <v>21</v>
      </c>
      <c r="C10" s="8">
        <v>0.03</v>
      </c>
      <c r="D10" t="s">
        <v>89</v>
      </c>
      <c r="K10" s="16" t="s">
        <v>42</v>
      </c>
      <c r="L10" s="15"/>
      <c r="M10" s="15"/>
      <c r="N10" s="17">
        <f>AVERAGE(N4:N8)</f>
        <v>0.38984000000000002</v>
      </c>
    </row>
    <row r="11" spans="1:14" x14ac:dyDescent="0.25">
      <c r="A11" t="s">
        <v>22</v>
      </c>
      <c r="B11" t="s">
        <v>23</v>
      </c>
      <c r="C11" s="9">
        <v>0.64</v>
      </c>
      <c r="D11" t="s">
        <v>39</v>
      </c>
    </row>
    <row r="12" spans="1:14" x14ac:dyDescent="0.25">
      <c r="A12" t="s">
        <v>24</v>
      </c>
      <c r="B12" t="s">
        <v>33</v>
      </c>
      <c r="C12" s="8">
        <v>5.5E-2</v>
      </c>
      <c r="D12" t="s">
        <v>88</v>
      </c>
    </row>
    <row r="14" spans="1:14" x14ac:dyDescent="0.25">
      <c r="A14" s="6" t="s">
        <v>25</v>
      </c>
    </row>
    <row r="15" spans="1:14" x14ac:dyDescent="0.25">
      <c r="A15" s="6" t="s">
        <v>26</v>
      </c>
      <c r="C15" s="11">
        <f>C5/C4</f>
        <v>4</v>
      </c>
    </row>
    <row r="16" spans="1:14" x14ac:dyDescent="0.25">
      <c r="A16" t="s">
        <v>27</v>
      </c>
      <c r="B16" t="s">
        <v>28</v>
      </c>
      <c r="C16" s="9">
        <f>C11*(1+(1-C7)*C15)</f>
        <v>2.6368</v>
      </c>
    </row>
    <row r="17" spans="1:4" x14ac:dyDescent="0.25">
      <c r="A17" t="s">
        <v>29</v>
      </c>
      <c r="B17" t="s">
        <v>30</v>
      </c>
      <c r="C17" s="7">
        <f>C10+C16*C12</f>
        <v>0.17502400000000001</v>
      </c>
    </row>
    <row r="19" spans="1:4" x14ac:dyDescent="0.25">
      <c r="A19" s="6" t="s">
        <v>31</v>
      </c>
      <c r="C19" s="13">
        <f>C4*C17+C5*C6*(1-C7)</f>
        <v>7.2444800000000004E-2</v>
      </c>
    </row>
    <row r="23" spans="1:4" x14ac:dyDescent="0.25">
      <c r="A23" s="12" t="s">
        <v>34</v>
      </c>
      <c r="B23" t="s">
        <v>35</v>
      </c>
      <c r="C23" t="s">
        <v>36</v>
      </c>
      <c r="D23" t="s">
        <v>37</v>
      </c>
    </row>
    <row r="24" spans="1:4" x14ac:dyDescent="0.25">
      <c r="A24">
        <v>2021</v>
      </c>
      <c r="B24">
        <v>74.59</v>
      </c>
      <c r="C24">
        <f>B24/1000</f>
        <v>7.4590000000000004E-2</v>
      </c>
      <c r="D24">
        <f>10*C24</f>
        <v>0.74590000000000001</v>
      </c>
    </row>
    <row r="25" spans="1:4" x14ac:dyDescent="0.25">
      <c r="A25">
        <v>2020</v>
      </c>
      <c r="B25">
        <v>9.17</v>
      </c>
      <c r="C25">
        <f t="shared" ref="C25:C28" si="2">B25/1000</f>
        <v>9.1699999999999993E-3</v>
      </c>
      <c r="D25">
        <f t="shared" ref="D25:D28" si="3">10*C25</f>
        <v>9.169999999999999E-2</v>
      </c>
    </row>
    <row r="26" spans="1:4" x14ac:dyDescent="0.25">
      <c r="A26">
        <v>2019</v>
      </c>
      <c r="B26">
        <v>39.270000000000003</v>
      </c>
      <c r="C26">
        <f t="shared" si="2"/>
        <v>3.9270000000000006E-2</v>
      </c>
      <c r="D26">
        <f t="shared" si="3"/>
        <v>0.39270000000000005</v>
      </c>
    </row>
    <row r="27" spans="1:4" x14ac:dyDescent="0.25">
      <c r="A27">
        <v>2018</v>
      </c>
      <c r="B27">
        <v>43.05</v>
      </c>
      <c r="C27">
        <f t="shared" si="2"/>
        <v>4.3049999999999998E-2</v>
      </c>
      <c r="D27">
        <f t="shared" si="3"/>
        <v>0.43049999999999999</v>
      </c>
    </row>
    <row r="28" spans="1:4" x14ac:dyDescent="0.25">
      <c r="A28">
        <v>2017</v>
      </c>
      <c r="B28">
        <v>28.84</v>
      </c>
      <c r="C28">
        <f t="shared" si="2"/>
        <v>2.8840000000000001E-2</v>
      </c>
      <c r="D28">
        <f t="shared" si="3"/>
        <v>0.28839999999999999</v>
      </c>
    </row>
    <row r="30" spans="1:4" x14ac:dyDescent="0.25">
      <c r="A30" t="s">
        <v>38</v>
      </c>
      <c r="D30" s="4">
        <f>AVERAGE(D24:D28)</f>
        <v>0.38984000000000002</v>
      </c>
    </row>
  </sheetData>
  <hyperlinks>
    <hyperlink ref="A23" r:id="rId1" xr:uid="{9A5197CD-E1FA-4206-9721-68BEECD69AFD}"/>
    <hyperlink ref="L1" r:id="rId2" xr:uid="{11D19CB6-E66B-44FE-A6A8-0AD2C5B0168E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BBC6-3C32-4FEB-9750-1F1524EF09F4}">
  <dimension ref="A1:AP64"/>
  <sheetViews>
    <sheetView topLeftCell="A12" zoomScale="55" zoomScaleNormal="55" workbookViewId="0">
      <selection activeCell="J59" sqref="J59"/>
    </sheetView>
  </sheetViews>
  <sheetFormatPr defaultColWidth="8.85546875" defaultRowHeight="15" x14ac:dyDescent="0.25"/>
  <cols>
    <col min="1" max="1" width="60.7109375" bestFit="1" customWidth="1"/>
    <col min="2" max="2" width="18.28515625" style="3" bestFit="1" customWidth="1"/>
    <col min="3" max="3" width="17.7109375" style="3" bestFit="1" customWidth="1"/>
    <col min="4" max="11" width="16.140625" bestFit="1" customWidth="1"/>
    <col min="12" max="13" width="15.7109375" bestFit="1" customWidth="1"/>
    <col min="14" max="24" width="15.42578125" bestFit="1" customWidth="1"/>
    <col min="25" max="32" width="17" bestFit="1" customWidth="1"/>
    <col min="33" max="33" width="10.7109375" bestFit="1" customWidth="1"/>
    <col min="34" max="42" width="9.140625" bestFit="1" customWidth="1"/>
  </cols>
  <sheetData>
    <row r="1" spans="1:42" s="25" customFormat="1" ht="18.75" x14ac:dyDescent="0.3">
      <c r="B1" s="26"/>
      <c r="C1" s="26"/>
    </row>
    <row r="2" spans="1:42" s="25" customFormat="1" ht="18.75" x14ac:dyDescent="0.3">
      <c r="A2" s="24" t="s">
        <v>0</v>
      </c>
      <c r="B2" s="26"/>
      <c r="C2" s="26"/>
    </row>
    <row r="3" spans="1:42" x14ac:dyDescent="0.25">
      <c r="B3"/>
      <c r="C3"/>
    </row>
    <row r="4" spans="1:42" ht="21" x14ac:dyDescent="0.35">
      <c r="A4" s="43" t="s">
        <v>1</v>
      </c>
      <c r="B4" s="55">
        <f>NPV(B21,C36:AF36)+B36</f>
        <v>322170827.29213035</v>
      </c>
      <c r="C4"/>
    </row>
    <row r="5" spans="1:42" x14ac:dyDescent="0.25">
      <c r="B5" s="56"/>
    </row>
    <row r="6" spans="1:42" x14ac:dyDescent="0.25">
      <c r="A6" s="27"/>
      <c r="B6" s="57"/>
    </row>
    <row r="7" spans="1:42" x14ac:dyDescent="0.25">
      <c r="A7" t="s">
        <v>2</v>
      </c>
      <c r="B7" s="28">
        <v>500000000</v>
      </c>
    </row>
    <row r="8" spans="1:42" x14ac:dyDescent="0.25">
      <c r="A8" t="s">
        <v>43</v>
      </c>
      <c r="B8" s="28">
        <v>7000000</v>
      </c>
    </row>
    <row r="9" spans="1:42" x14ac:dyDescent="0.25">
      <c r="B9" s="54"/>
    </row>
    <row r="10" spans="1:42" x14ac:dyDescent="0.25">
      <c r="A10" t="s">
        <v>44</v>
      </c>
      <c r="B10" s="29">
        <v>30</v>
      </c>
      <c r="C10" s="3" t="s">
        <v>45</v>
      </c>
    </row>
    <row r="11" spans="1:42" x14ac:dyDescent="0.25">
      <c r="A11" t="s">
        <v>52</v>
      </c>
      <c r="B11" s="28">
        <f>B7/30</f>
        <v>16666666.666666666</v>
      </c>
    </row>
    <row r="12" spans="1:42" x14ac:dyDescent="0.25">
      <c r="B12" s="54"/>
    </row>
    <row r="13" spans="1:42" x14ac:dyDescent="0.25">
      <c r="A13" t="s">
        <v>46</v>
      </c>
      <c r="B13" s="3">
        <v>130000000</v>
      </c>
      <c r="C13" s="3" t="s">
        <v>47</v>
      </c>
      <c r="F13" s="4"/>
    </row>
    <row r="14" spans="1:42" x14ac:dyDescent="0.25">
      <c r="A14" t="s">
        <v>48</v>
      </c>
      <c r="B14" s="30">
        <v>5.0000000000000001E-3</v>
      </c>
      <c r="C14"/>
      <c r="F14" s="4"/>
    </row>
    <row r="15" spans="1:42" x14ac:dyDescent="0.25">
      <c r="B15"/>
      <c r="C15" s="31">
        <v>2023</v>
      </c>
      <c r="D15" s="31">
        <v>2024</v>
      </c>
      <c r="E15" s="31">
        <v>2025</v>
      </c>
      <c r="F15" s="31">
        <v>2026</v>
      </c>
      <c r="G15" s="31">
        <v>2027</v>
      </c>
      <c r="H15" s="31">
        <v>2028</v>
      </c>
      <c r="I15" s="31">
        <v>2029</v>
      </c>
      <c r="J15" s="31">
        <v>2030</v>
      </c>
      <c r="K15" s="31">
        <v>2031</v>
      </c>
      <c r="L15" s="31">
        <v>2032</v>
      </c>
      <c r="M15" s="31">
        <v>2033</v>
      </c>
      <c r="N15" s="31">
        <v>2034</v>
      </c>
      <c r="O15" s="31">
        <v>2035</v>
      </c>
      <c r="P15" s="31">
        <v>2036</v>
      </c>
      <c r="Q15" s="31">
        <v>2037</v>
      </c>
      <c r="R15" s="31">
        <v>2038</v>
      </c>
      <c r="S15" s="31">
        <v>2039</v>
      </c>
      <c r="T15" s="31">
        <v>2040</v>
      </c>
      <c r="U15" s="31">
        <v>2041</v>
      </c>
      <c r="V15" s="31">
        <v>2042</v>
      </c>
      <c r="W15" s="31">
        <v>2043</v>
      </c>
      <c r="X15" s="31">
        <v>2044</v>
      </c>
      <c r="Y15" s="31">
        <v>2045</v>
      </c>
      <c r="Z15" s="31">
        <v>2046</v>
      </c>
      <c r="AA15" s="31">
        <v>2047</v>
      </c>
      <c r="AB15" s="31">
        <v>2048</v>
      </c>
      <c r="AC15" s="31">
        <v>2049</v>
      </c>
      <c r="AD15" s="31">
        <v>2050</v>
      </c>
      <c r="AE15" s="31">
        <v>2051</v>
      </c>
      <c r="AF15" s="31">
        <v>2052</v>
      </c>
      <c r="AG15" s="32"/>
      <c r="AH15" s="32"/>
      <c r="AI15" s="32"/>
      <c r="AJ15" s="32"/>
      <c r="AK15" s="32"/>
      <c r="AL15" s="32"/>
      <c r="AM15" s="32"/>
      <c r="AN15" s="32"/>
      <c r="AO15" s="32"/>
      <c r="AP15" s="32"/>
    </row>
    <row r="16" spans="1:42" x14ac:dyDescent="0.25">
      <c r="B16"/>
      <c r="C16" s="29">
        <f>B13</f>
        <v>130000000</v>
      </c>
      <c r="D16" s="3">
        <f>C16*(1-$B$14)</f>
        <v>129350000</v>
      </c>
      <c r="E16" s="3">
        <f t="shared" ref="E16:AF16" si="0">D16*(1-$B$14)</f>
        <v>128703250</v>
      </c>
      <c r="F16" s="3">
        <f t="shared" si="0"/>
        <v>128059733.75</v>
      </c>
      <c r="G16" s="3">
        <f t="shared" si="0"/>
        <v>127419435.08125</v>
      </c>
      <c r="H16" s="3">
        <f t="shared" si="0"/>
        <v>126782337.90584375</v>
      </c>
      <c r="I16" s="3">
        <f t="shared" si="0"/>
        <v>126148426.21631452</v>
      </c>
      <c r="J16" s="3">
        <f t="shared" si="0"/>
        <v>125517684.08523296</v>
      </c>
      <c r="K16" s="3">
        <f t="shared" si="0"/>
        <v>124890095.6648068</v>
      </c>
      <c r="L16" s="3">
        <f t="shared" si="0"/>
        <v>124265645.18648276</v>
      </c>
      <c r="M16" s="3">
        <f t="shared" si="0"/>
        <v>123644316.96055034</v>
      </c>
      <c r="N16" s="3">
        <f t="shared" si="0"/>
        <v>123026095.37574759</v>
      </c>
      <c r="O16" s="3">
        <f t="shared" si="0"/>
        <v>122410964.89886886</v>
      </c>
      <c r="P16" s="3">
        <f t="shared" si="0"/>
        <v>121798910.07437451</v>
      </c>
      <c r="Q16" s="3">
        <f t="shared" si="0"/>
        <v>121189915.52400264</v>
      </c>
      <c r="R16" s="3">
        <f t="shared" si="0"/>
        <v>120583965.94638263</v>
      </c>
      <c r="S16" s="3">
        <f t="shared" si="0"/>
        <v>119981046.11665072</v>
      </c>
      <c r="T16" s="3">
        <f t="shared" si="0"/>
        <v>119381140.88606746</v>
      </c>
      <c r="U16" s="3">
        <f t="shared" si="0"/>
        <v>118784235.18163712</v>
      </c>
      <c r="V16" s="3">
        <f t="shared" si="0"/>
        <v>118190314.00572893</v>
      </c>
      <c r="W16" s="3">
        <f t="shared" si="0"/>
        <v>117599362.43570028</v>
      </c>
      <c r="X16" s="3">
        <f t="shared" si="0"/>
        <v>117011365.62352178</v>
      </c>
      <c r="Y16" s="3">
        <f t="shared" si="0"/>
        <v>116426308.79540417</v>
      </c>
      <c r="Z16" s="3">
        <f t="shared" si="0"/>
        <v>115844177.25142714</v>
      </c>
      <c r="AA16" s="3">
        <f t="shared" si="0"/>
        <v>115264956.36517</v>
      </c>
      <c r="AB16" s="3">
        <f t="shared" si="0"/>
        <v>114688631.58334415</v>
      </c>
      <c r="AC16" s="3">
        <f t="shared" si="0"/>
        <v>114115188.42542742</v>
      </c>
      <c r="AD16" s="3">
        <f t="shared" si="0"/>
        <v>113544612.48330028</v>
      </c>
      <c r="AE16" s="3">
        <f t="shared" si="0"/>
        <v>112976889.42088377</v>
      </c>
      <c r="AF16" s="3">
        <f t="shared" si="0"/>
        <v>112412004.97377935</v>
      </c>
      <c r="AG16" s="3"/>
    </row>
    <row r="17" spans="1:33" x14ac:dyDescent="0.25">
      <c r="B17"/>
      <c r="C17" s="31">
        <v>2023</v>
      </c>
      <c r="D17" s="31">
        <v>2024</v>
      </c>
      <c r="E17" s="31">
        <v>2025</v>
      </c>
      <c r="F17" s="31">
        <v>2026</v>
      </c>
      <c r="G17" s="31">
        <v>2027</v>
      </c>
      <c r="H17" s="31">
        <v>2028</v>
      </c>
      <c r="I17" s="31">
        <v>2029</v>
      </c>
      <c r="J17" s="31">
        <v>2030</v>
      </c>
      <c r="K17" s="31">
        <v>2031</v>
      </c>
      <c r="L17" s="31">
        <v>2032</v>
      </c>
      <c r="M17" s="31">
        <v>2033</v>
      </c>
      <c r="N17" s="31">
        <v>2034</v>
      </c>
      <c r="O17" s="31">
        <v>2035</v>
      </c>
      <c r="P17" s="31">
        <v>2036</v>
      </c>
      <c r="Q17" s="31">
        <v>2037</v>
      </c>
      <c r="R17" s="31">
        <v>2038</v>
      </c>
      <c r="S17" s="31">
        <v>2039</v>
      </c>
      <c r="T17" s="31">
        <v>2040</v>
      </c>
      <c r="U17" s="31">
        <v>2041</v>
      </c>
      <c r="V17" s="31">
        <v>2042</v>
      </c>
      <c r="W17" s="31">
        <v>2043</v>
      </c>
      <c r="X17" s="31">
        <v>2044</v>
      </c>
      <c r="Y17" s="31">
        <v>2045</v>
      </c>
      <c r="Z17" s="31">
        <v>2046</v>
      </c>
      <c r="AA17" s="31">
        <v>2047</v>
      </c>
      <c r="AB17" s="31">
        <v>2048</v>
      </c>
      <c r="AC17" s="31">
        <v>2049</v>
      </c>
      <c r="AD17" s="31">
        <v>2050</v>
      </c>
      <c r="AE17" s="31">
        <v>2051</v>
      </c>
      <c r="AF17" s="31">
        <v>2052</v>
      </c>
      <c r="AG17" s="32"/>
    </row>
    <row r="18" spans="1:33" x14ac:dyDescent="0.25">
      <c r="A18" s="18" t="s">
        <v>58</v>
      </c>
      <c r="B18" s="30">
        <v>2.5000000000000001E-2</v>
      </c>
      <c r="C18" s="42">
        <v>0.39</v>
      </c>
      <c r="D18" s="42">
        <f>C18*(1+$B$18)</f>
        <v>0.39974999999999999</v>
      </c>
      <c r="E18" s="42">
        <f t="shared" ref="E18:I18" si="1">D18*(1+$B$18)</f>
        <v>0.40974374999999996</v>
      </c>
      <c r="F18" s="42">
        <f>E18*(1+$B$18)</f>
        <v>0.41998734374999991</v>
      </c>
      <c r="G18" s="42">
        <f t="shared" si="1"/>
        <v>0.43048702734374988</v>
      </c>
      <c r="H18" s="42">
        <f t="shared" si="1"/>
        <v>0.44124920302734361</v>
      </c>
      <c r="I18" s="42">
        <f t="shared" si="1"/>
        <v>0.45228043310302718</v>
      </c>
      <c r="J18" s="42">
        <f>I18*(1+$B$18)^3</f>
        <v>0.48705655827958955</v>
      </c>
      <c r="K18" s="42">
        <f t="shared" ref="K18:AF18" si="2">J18*(1+$B$18)^3</f>
        <v>0.52450664145605608</v>
      </c>
      <c r="L18" s="42">
        <f t="shared" si="2"/>
        <v>0.56483628493426308</v>
      </c>
      <c r="M18" s="42">
        <f t="shared" si="2"/>
        <v>0.60826689990553662</v>
      </c>
      <c r="N18" s="42">
        <f t="shared" si="2"/>
        <v>0.65503692200608565</v>
      </c>
      <c r="O18" s="42">
        <f t="shared" si="2"/>
        <v>0.70540312033720975</v>
      </c>
      <c r="P18" s="42">
        <f t="shared" si="2"/>
        <v>0.7596420071368879</v>
      </c>
      <c r="Q18" s="42">
        <f t="shared" si="2"/>
        <v>0.81805135584189759</v>
      </c>
      <c r="R18" s="42">
        <f t="shared" si="2"/>
        <v>0.8809518358746784</v>
      </c>
      <c r="S18" s="42">
        <f t="shared" si="2"/>
        <v>0.94868877312997979</v>
      </c>
      <c r="T18" s="42">
        <f t="shared" si="2"/>
        <v>1.021634045826427</v>
      </c>
      <c r="U18" s="42">
        <f t="shared" si="2"/>
        <v>1.1001881261312996</v>
      </c>
      <c r="V18" s="42">
        <f t="shared" si="2"/>
        <v>1.1847822787671138</v>
      </c>
      <c r="W18" s="42">
        <f t="shared" si="2"/>
        <v>1.2758809286704413</v>
      </c>
      <c r="X18" s="42">
        <f t="shared" si="2"/>
        <v>1.3739842107014919</v>
      </c>
      <c r="Y18" s="42">
        <f t="shared" si="2"/>
        <v>1.479630715402461</v>
      </c>
      <c r="Z18" s="42">
        <f t="shared" si="2"/>
        <v>1.5934004458789532</v>
      </c>
      <c r="AA18" s="42">
        <f t="shared" si="2"/>
        <v>1.7159180020378644</v>
      </c>
      <c r="AB18" s="42">
        <f t="shared" si="2"/>
        <v>1.8478560096633068</v>
      </c>
      <c r="AC18" s="42">
        <f t="shared" si="2"/>
        <v>1.9899388131563243</v>
      </c>
      <c r="AD18" s="42">
        <f t="shared" si="2"/>
        <v>2.1429464522116719</v>
      </c>
      <c r="AE18" s="42">
        <f t="shared" si="2"/>
        <v>2.3077189442637596</v>
      </c>
      <c r="AF18" s="42">
        <f t="shared" si="2"/>
        <v>2.4851608962125398</v>
      </c>
      <c r="AG18" s="42"/>
    </row>
    <row r="19" spans="1:33" x14ac:dyDescent="0.25">
      <c r="A19" s="53"/>
      <c r="B19" s="9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</row>
    <row r="20" spans="1:33" x14ac:dyDescent="0.25">
      <c r="A20" s="34"/>
      <c r="B20" s="33"/>
      <c r="C20" s="33"/>
      <c r="D20" s="33"/>
      <c r="E20" s="33"/>
    </row>
    <row r="21" spans="1:33" x14ac:dyDescent="0.25">
      <c r="A21" s="19" t="s">
        <v>49</v>
      </c>
      <c r="B21" s="44">
        <f>'Discount rate &amp; power price'!C19</f>
        <v>7.2444800000000004E-2</v>
      </c>
      <c r="C21" s="35"/>
      <c r="D21" s="36"/>
      <c r="E21" s="37"/>
      <c r="H21" s="19"/>
    </row>
    <row r="22" spans="1:33" x14ac:dyDescent="0.25">
      <c r="A22" s="19" t="s">
        <v>18</v>
      </c>
      <c r="B22" s="45">
        <v>0.22</v>
      </c>
      <c r="C22" s="35"/>
      <c r="D22" s="36"/>
      <c r="E22" s="37"/>
      <c r="H22" s="19"/>
    </row>
    <row r="23" spans="1:33" x14ac:dyDescent="0.25">
      <c r="A23" s="19"/>
      <c r="B23" s="19"/>
      <c r="C23" s="35"/>
      <c r="D23" s="36"/>
      <c r="E23" s="37"/>
      <c r="H23" s="19"/>
    </row>
    <row r="24" spans="1:33" x14ac:dyDescent="0.25">
      <c r="A24" s="19"/>
      <c r="B24" s="19"/>
      <c r="C24" s="35"/>
      <c r="D24" s="36"/>
      <c r="E24" s="37"/>
      <c r="H24" s="19"/>
    </row>
    <row r="26" spans="1:33" x14ac:dyDescent="0.25">
      <c r="B26" s="34"/>
      <c r="C26" s="34"/>
    </row>
    <row r="27" spans="1:33" x14ac:dyDescent="0.25">
      <c r="A27" s="19"/>
      <c r="B27" s="20"/>
      <c r="C27" s="20"/>
    </row>
    <row r="28" spans="1:33" ht="18.75" x14ac:dyDescent="0.3">
      <c r="A28" s="24" t="s">
        <v>3</v>
      </c>
      <c r="B28" s="26"/>
      <c r="C28" s="26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33" ht="15.6" customHeight="1" x14ac:dyDescent="0.25">
      <c r="A29" s="38"/>
      <c r="B29" s="39">
        <v>0</v>
      </c>
      <c r="C29" s="39">
        <f t="shared" ref="C29:AF29" si="3">B29+1</f>
        <v>1</v>
      </c>
      <c r="D29" s="39">
        <f t="shared" si="3"/>
        <v>2</v>
      </c>
      <c r="E29" s="39">
        <f t="shared" si="3"/>
        <v>3</v>
      </c>
      <c r="F29" s="39">
        <f t="shared" si="3"/>
        <v>4</v>
      </c>
      <c r="G29" s="39">
        <f t="shared" si="3"/>
        <v>5</v>
      </c>
      <c r="H29" s="39">
        <f t="shared" si="3"/>
        <v>6</v>
      </c>
      <c r="I29" s="39">
        <f t="shared" si="3"/>
        <v>7</v>
      </c>
      <c r="J29" s="39">
        <f t="shared" si="3"/>
        <v>8</v>
      </c>
      <c r="K29" s="39">
        <f t="shared" si="3"/>
        <v>9</v>
      </c>
      <c r="L29" s="39">
        <f t="shared" si="3"/>
        <v>10</v>
      </c>
      <c r="M29" s="39">
        <f t="shared" si="3"/>
        <v>11</v>
      </c>
      <c r="N29" s="39">
        <f t="shared" si="3"/>
        <v>12</v>
      </c>
      <c r="O29" s="39">
        <f t="shared" si="3"/>
        <v>13</v>
      </c>
      <c r="P29" s="39">
        <f t="shared" si="3"/>
        <v>14</v>
      </c>
      <c r="Q29" s="39">
        <f t="shared" si="3"/>
        <v>15</v>
      </c>
      <c r="R29" s="39">
        <f t="shared" si="3"/>
        <v>16</v>
      </c>
      <c r="S29" s="39">
        <f t="shared" si="3"/>
        <v>17</v>
      </c>
      <c r="T29" s="39">
        <f t="shared" si="3"/>
        <v>18</v>
      </c>
      <c r="U29" s="39">
        <f t="shared" si="3"/>
        <v>19</v>
      </c>
      <c r="V29" s="39">
        <f t="shared" si="3"/>
        <v>20</v>
      </c>
      <c r="W29" s="39">
        <f t="shared" si="3"/>
        <v>21</v>
      </c>
      <c r="X29" s="39">
        <f t="shared" si="3"/>
        <v>22</v>
      </c>
      <c r="Y29" s="39">
        <f t="shared" si="3"/>
        <v>23</v>
      </c>
      <c r="Z29" s="39">
        <f t="shared" si="3"/>
        <v>24</v>
      </c>
      <c r="AA29" s="39">
        <f t="shared" si="3"/>
        <v>25</v>
      </c>
      <c r="AB29" s="39">
        <f t="shared" si="3"/>
        <v>26</v>
      </c>
      <c r="AC29" s="39">
        <f t="shared" si="3"/>
        <v>27</v>
      </c>
      <c r="AD29" s="39">
        <f t="shared" si="3"/>
        <v>28</v>
      </c>
      <c r="AE29" s="39">
        <f t="shared" si="3"/>
        <v>29</v>
      </c>
      <c r="AF29" s="39">
        <f t="shared" si="3"/>
        <v>30</v>
      </c>
    </row>
    <row r="30" spans="1:33" s="14" customFormat="1" x14ac:dyDescent="0.25">
      <c r="A30" s="46" t="s">
        <v>50</v>
      </c>
      <c r="B30" s="46"/>
      <c r="C30" s="47">
        <v>2023</v>
      </c>
      <c r="D30" s="47">
        <v>2024</v>
      </c>
      <c r="E30" s="47">
        <v>2025</v>
      </c>
      <c r="F30" s="47">
        <v>2026</v>
      </c>
      <c r="G30" s="47">
        <v>2027</v>
      </c>
      <c r="H30" s="47">
        <v>2028</v>
      </c>
      <c r="I30" s="47">
        <v>2029</v>
      </c>
      <c r="J30" s="47">
        <v>2030</v>
      </c>
      <c r="K30" s="47">
        <v>2031</v>
      </c>
      <c r="L30" s="47">
        <v>2032</v>
      </c>
      <c r="M30" s="47">
        <v>2033</v>
      </c>
      <c r="N30" s="47">
        <v>2034</v>
      </c>
      <c r="O30" s="47">
        <v>2035</v>
      </c>
      <c r="P30" s="47">
        <v>2036</v>
      </c>
      <c r="Q30" s="47">
        <v>2037</v>
      </c>
      <c r="R30" s="47">
        <v>2038</v>
      </c>
      <c r="S30" s="47">
        <v>2039</v>
      </c>
      <c r="T30" s="47">
        <v>2040</v>
      </c>
      <c r="U30" s="47">
        <v>2041</v>
      </c>
      <c r="V30" s="47">
        <v>2042</v>
      </c>
      <c r="W30" s="47">
        <v>2043</v>
      </c>
      <c r="X30" s="47">
        <v>2044</v>
      </c>
      <c r="Y30" s="47">
        <v>2045</v>
      </c>
      <c r="Z30" s="47">
        <v>2046</v>
      </c>
      <c r="AA30" s="47">
        <v>2047</v>
      </c>
      <c r="AB30" s="47">
        <v>2048</v>
      </c>
      <c r="AC30" s="47">
        <v>2049</v>
      </c>
      <c r="AD30" s="47">
        <v>2050</v>
      </c>
      <c r="AE30" s="47">
        <v>2051</v>
      </c>
      <c r="AF30" s="47">
        <v>2052</v>
      </c>
      <c r="AG30" s="52"/>
    </row>
    <row r="31" spans="1:33" x14ac:dyDescent="0.25">
      <c r="A31" t="s">
        <v>2</v>
      </c>
      <c r="B31" s="56">
        <f>-B7</f>
        <v>-500000000</v>
      </c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</row>
    <row r="32" spans="1:33" x14ac:dyDescent="0.25">
      <c r="A32" s="19" t="s">
        <v>56</v>
      </c>
      <c r="B32" s="56"/>
      <c r="C32" s="56">
        <f>C18*C16</f>
        <v>50700000</v>
      </c>
      <c r="D32" s="56">
        <f t="shared" ref="D32:AF32" si="4">D18*D16</f>
        <v>51707662.5</v>
      </c>
      <c r="E32" s="56">
        <f t="shared" si="4"/>
        <v>52735352.292187497</v>
      </c>
      <c r="F32" s="56">
        <f t="shared" si="4"/>
        <v>53783467.418994717</v>
      </c>
      <c r="G32" s="56">
        <f t="shared" si="4"/>
        <v>54852413.833947234</v>
      </c>
      <c r="H32" s="56">
        <f t="shared" si="4"/>
        <v>55942605.558896929</v>
      </c>
      <c r="I32" s="56">
        <f t="shared" si="4"/>
        <v>57054464.844379999</v>
      </c>
      <c r="J32" s="56">
        <f t="shared" si="4"/>
        <v>61134211.213778377</v>
      </c>
      <c r="K32" s="56">
        <f t="shared" si="4"/>
        <v>65505684.62827336</v>
      </c>
      <c r="L32" s="56">
        <f t="shared" si="4"/>
        <v>70189745.372092217</v>
      </c>
      <c r="M32" s="56">
        <f t="shared" si="4"/>
        <v>75208745.36853151</v>
      </c>
      <c r="N32" s="56">
        <f t="shared" si="4"/>
        <v>80586634.841356829</v>
      </c>
      <c r="O32" s="56">
        <f t="shared" si="4"/>
        <v>86349076.603150755</v>
      </c>
      <c r="P32" s="56">
        <f t="shared" si="4"/>
        <v>92523568.515983164</v>
      </c>
      <c r="Q32" s="56">
        <f t="shared" si="4"/>
        <v>99139574.708775386</v>
      </c>
      <c r="R32" s="56">
        <f t="shared" si="4"/>
        <v>106228666.17751548</v>
      </c>
      <c r="S32" s="56">
        <f t="shared" si="4"/>
        <v>113824671.43925689</v>
      </c>
      <c r="T32" s="56">
        <f t="shared" si="4"/>
        <v>121963837.9588078</v>
      </c>
      <c r="U32" s="56">
        <f t="shared" si="4"/>
        <v>130685005.11842494</v>
      </c>
      <c r="V32" s="56">
        <f t="shared" si="4"/>
        <v>140029789.55590826</v>
      </c>
      <c r="W32" s="56">
        <f t="shared" si="4"/>
        <v>150042783.7555131</v>
      </c>
      <c r="X32" s="56">
        <f t="shared" si="4"/>
        <v>160771768.83933824</v>
      </c>
      <c r="Y32" s="56">
        <f t="shared" si="4"/>
        <v>172267942.57461172</v>
      </c>
      <c r="Z32" s="56">
        <f t="shared" si="4"/>
        <v>184586163.68490452</v>
      </c>
      <c r="AA32" s="56">
        <f t="shared" si="4"/>
        <v>197785213.63110414</v>
      </c>
      <c r="AB32" s="56">
        <f t="shared" si="4"/>
        <v>211928077.11134341</v>
      </c>
      <c r="AC32" s="56">
        <f t="shared" si="4"/>
        <v>227082242.61840534</v>
      </c>
      <c r="AD32" s="56">
        <f t="shared" si="4"/>
        <v>243320024.48883745</v>
      </c>
      <c r="AE32" s="56">
        <f t="shared" si="4"/>
        <v>260718907.9805654</v>
      </c>
      <c r="AF32" s="56">
        <f t="shared" si="4"/>
        <v>279361919.02568597</v>
      </c>
    </row>
    <row r="33" spans="1:33" s="40" customFormat="1" ht="18.75" x14ac:dyDescent="0.3">
      <c r="A33" t="s">
        <v>5</v>
      </c>
      <c r="B33" s="56"/>
      <c r="C33" s="56">
        <f>-$B$8</f>
        <v>-7000000</v>
      </c>
      <c r="D33" s="56">
        <f t="shared" ref="D33:AF33" si="5">-$B$8</f>
        <v>-7000000</v>
      </c>
      <c r="E33" s="56">
        <f t="shared" si="5"/>
        <v>-7000000</v>
      </c>
      <c r="F33" s="56">
        <f t="shared" si="5"/>
        <v>-7000000</v>
      </c>
      <c r="G33" s="56">
        <f t="shared" si="5"/>
        <v>-7000000</v>
      </c>
      <c r="H33" s="56">
        <f t="shared" si="5"/>
        <v>-7000000</v>
      </c>
      <c r="I33" s="56">
        <f t="shared" si="5"/>
        <v>-7000000</v>
      </c>
      <c r="J33" s="56">
        <f t="shared" si="5"/>
        <v>-7000000</v>
      </c>
      <c r="K33" s="56">
        <f t="shared" si="5"/>
        <v>-7000000</v>
      </c>
      <c r="L33" s="56">
        <f t="shared" si="5"/>
        <v>-7000000</v>
      </c>
      <c r="M33" s="56">
        <f t="shared" si="5"/>
        <v>-7000000</v>
      </c>
      <c r="N33" s="56">
        <f t="shared" si="5"/>
        <v>-7000000</v>
      </c>
      <c r="O33" s="56">
        <f t="shared" si="5"/>
        <v>-7000000</v>
      </c>
      <c r="P33" s="56">
        <f t="shared" si="5"/>
        <v>-7000000</v>
      </c>
      <c r="Q33" s="56">
        <f t="shared" si="5"/>
        <v>-7000000</v>
      </c>
      <c r="R33" s="56">
        <f t="shared" si="5"/>
        <v>-7000000</v>
      </c>
      <c r="S33" s="56">
        <f t="shared" si="5"/>
        <v>-7000000</v>
      </c>
      <c r="T33" s="56">
        <f t="shared" si="5"/>
        <v>-7000000</v>
      </c>
      <c r="U33" s="56">
        <f t="shared" si="5"/>
        <v>-7000000</v>
      </c>
      <c r="V33" s="56">
        <f t="shared" si="5"/>
        <v>-7000000</v>
      </c>
      <c r="W33" s="56">
        <f t="shared" si="5"/>
        <v>-7000000</v>
      </c>
      <c r="X33" s="56">
        <f t="shared" si="5"/>
        <v>-7000000</v>
      </c>
      <c r="Y33" s="56">
        <f t="shared" si="5"/>
        <v>-7000000</v>
      </c>
      <c r="Z33" s="56">
        <f t="shared" si="5"/>
        <v>-7000000</v>
      </c>
      <c r="AA33" s="56">
        <f t="shared" si="5"/>
        <v>-7000000</v>
      </c>
      <c r="AB33" s="56">
        <f t="shared" si="5"/>
        <v>-7000000</v>
      </c>
      <c r="AC33" s="56">
        <f t="shared" si="5"/>
        <v>-7000000</v>
      </c>
      <c r="AD33" s="56">
        <f t="shared" si="5"/>
        <v>-7000000</v>
      </c>
      <c r="AE33" s="56">
        <f t="shared" si="5"/>
        <v>-7000000</v>
      </c>
      <c r="AF33" s="56">
        <f t="shared" si="5"/>
        <v>-7000000</v>
      </c>
    </row>
    <row r="34" spans="1:33" x14ac:dyDescent="0.25">
      <c r="B34" s="56"/>
      <c r="C34" s="56">
        <f>-B46</f>
        <v>-5947333.333333334</v>
      </c>
      <c r="D34" s="56">
        <f t="shared" ref="D34:AF34" si="6">-C46</f>
        <v>-6169019.083333334</v>
      </c>
      <c r="E34" s="56">
        <f t="shared" si="6"/>
        <v>-6395110.8376145829</v>
      </c>
      <c r="F34" s="56">
        <f t="shared" si="6"/>
        <v>-6625696.1655121716</v>
      </c>
      <c r="G34" s="56">
        <f t="shared" si="6"/>
        <v>-6860864.3768017255</v>
      </c>
      <c r="H34" s="56">
        <f t="shared" si="6"/>
        <v>-7100706.5562906582</v>
      </c>
      <c r="I34" s="56">
        <f t="shared" si="6"/>
        <v>-7345315.5990969334</v>
      </c>
      <c r="J34" s="56">
        <f t="shared" si="6"/>
        <v>-8242859.8003645772</v>
      </c>
      <c r="K34" s="56">
        <f t="shared" si="6"/>
        <v>-9204583.9515534732</v>
      </c>
      <c r="L34" s="56">
        <f t="shared" si="6"/>
        <v>-10235077.315193621</v>
      </c>
      <c r="M34" s="56">
        <f t="shared" si="6"/>
        <v>-11339257.314410266</v>
      </c>
      <c r="N34" s="56">
        <f t="shared" si="6"/>
        <v>-12522392.998431837</v>
      </c>
      <c r="O34" s="56">
        <f t="shared" si="6"/>
        <v>-13790130.186026501</v>
      </c>
      <c r="P34" s="56">
        <f t="shared" si="6"/>
        <v>-15148518.406849628</v>
      </c>
      <c r="Q34" s="56">
        <f t="shared" si="6"/>
        <v>-16604039.769263918</v>
      </c>
      <c r="R34" s="56">
        <f t="shared" si="6"/>
        <v>-18163639.892386738</v>
      </c>
      <c r="S34" s="56">
        <f t="shared" si="6"/>
        <v>-19834761.049969848</v>
      </c>
      <c r="T34" s="56">
        <f t="shared" si="6"/>
        <v>-21625377.684271049</v>
      </c>
      <c r="U34" s="56">
        <f t="shared" si="6"/>
        <v>-23544034.459386818</v>
      </c>
      <c r="V34" s="56">
        <f t="shared" si="6"/>
        <v>-25599887.03563315</v>
      </c>
      <c r="W34" s="56">
        <f t="shared" si="6"/>
        <v>-27802745.759546217</v>
      </c>
      <c r="X34" s="56">
        <f t="shared" si="6"/>
        <v>-30163122.477987748</v>
      </c>
      <c r="Y34" s="56">
        <f t="shared" si="6"/>
        <v>-32692280.699747916</v>
      </c>
      <c r="Z34" s="56">
        <f t="shared" si="6"/>
        <v>-35402289.344012327</v>
      </c>
      <c r="AA34" s="56">
        <f t="shared" si="6"/>
        <v>-38306080.332176246</v>
      </c>
      <c r="AB34" s="56">
        <f t="shared" si="6"/>
        <v>-41417510.29782889</v>
      </c>
      <c r="AC34" s="56">
        <f t="shared" si="6"/>
        <v>-44751426.709382512</v>
      </c>
      <c r="AD34" s="56">
        <f t="shared" si="6"/>
        <v>-48323738.720877573</v>
      </c>
      <c r="AE34" s="56">
        <f t="shared" si="6"/>
        <v>-52151493.089057721</v>
      </c>
      <c r="AF34" s="56">
        <f t="shared" si="6"/>
        <v>-56252955.518984251</v>
      </c>
    </row>
    <row r="35" spans="1:33" s="41" customFormat="1" x14ac:dyDescent="0.25">
      <c r="A3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8"/>
      <c r="X35" s="58"/>
      <c r="Y35" s="58"/>
      <c r="Z35" s="58"/>
      <c r="AA35" s="58"/>
      <c r="AB35" s="58"/>
      <c r="AC35" s="58"/>
      <c r="AD35" s="58"/>
      <c r="AE35" s="58"/>
      <c r="AF35" s="58"/>
    </row>
    <row r="36" spans="1:33" x14ac:dyDescent="0.25">
      <c r="A36" s="21" t="s">
        <v>6</v>
      </c>
      <c r="B36" s="59">
        <f>SUM(B31:B34)</f>
        <v>-500000000</v>
      </c>
      <c r="C36" s="59">
        <f t="shared" ref="C36:AE36" si="7">SUM(C31:C34)</f>
        <v>37752666.666666664</v>
      </c>
      <c r="D36" s="59">
        <f t="shared" si="7"/>
        <v>38538643.416666664</v>
      </c>
      <c r="E36" s="59">
        <f t="shared" si="7"/>
        <v>39340241.454572916</v>
      </c>
      <c r="F36" s="59">
        <f t="shared" si="7"/>
        <v>40157771.253482543</v>
      </c>
      <c r="G36" s="59">
        <f t="shared" si="7"/>
        <v>40991549.457145512</v>
      </c>
      <c r="H36" s="59">
        <f t="shared" si="7"/>
        <v>41841899.002606273</v>
      </c>
      <c r="I36" s="59">
        <f t="shared" si="7"/>
        <v>42709149.245283067</v>
      </c>
      <c r="J36" s="59">
        <f t="shared" si="7"/>
        <v>45891351.4134138</v>
      </c>
      <c r="K36" s="59">
        <f t="shared" si="7"/>
        <v>49301100.676719889</v>
      </c>
      <c r="L36" s="59">
        <f t="shared" si="7"/>
        <v>52954668.056898594</v>
      </c>
      <c r="M36" s="59">
        <f t="shared" si="7"/>
        <v>56869488.054121241</v>
      </c>
      <c r="N36" s="59">
        <f t="shared" si="7"/>
        <v>61064241.84292499</v>
      </c>
      <c r="O36" s="59">
        <f t="shared" si="7"/>
        <v>65558946.417124256</v>
      </c>
      <c r="P36" s="59">
        <f t="shared" si="7"/>
        <v>70375050.109133542</v>
      </c>
      <c r="Q36" s="59">
        <f t="shared" si="7"/>
        <v>75535534.939511463</v>
      </c>
      <c r="R36" s="59">
        <f t="shared" si="7"/>
        <v>81065026.285128742</v>
      </c>
      <c r="S36" s="59">
        <f t="shared" si="7"/>
        <v>86989910.38928704</v>
      </c>
      <c r="T36" s="59">
        <f t="shared" si="7"/>
        <v>93338460.274536744</v>
      </c>
      <c r="U36" s="59">
        <f t="shared" si="7"/>
        <v>100140970.65903813</v>
      </c>
      <c r="V36" s="59">
        <f t="shared" si="7"/>
        <v>107429902.52027512</v>
      </c>
      <c r="W36" s="59">
        <f t="shared" si="7"/>
        <v>115240037.99596688</v>
      </c>
      <c r="X36" s="59">
        <f t="shared" si="7"/>
        <v>123608646.36135049</v>
      </c>
      <c r="Y36" s="59">
        <f t="shared" si="7"/>
        <v>132575661.8748638</v>
      </c>
      <c r="Z36" s="59">
        <f t="shared" si="7"/>
        <v>142183874.3408922</v>
      </c>
      <c r="AA36" s="59">
        <f t="shared" si="7"/>
        <v>152479133.2989279</v>
      </c>
      <c r="AB36" s="59">
        <f t="shared" si="7"/>
        <v>163510566.81351453</v>
      </c>
      <c r="AC36" s="59">
        <f t="shared" si="7"/>
        <v>175330815.90902284</v>
      </c>
      <c r="AD36" s="59">
        <f t="shared" si="7"/>
        <v>187996285.76795989</v>
      </c>
      <c r="AE36" s="59">
        <f t="shared" si="7"/>
        <v>201567414.89150769</v>
      </c>
      <c r="AF36" s="59">
        <f>SUM(AF31:AF34)</f>
        <v>216108963.50670171</v>
      </c>
    </row>
    <row r="37" spans="1:33" x14ac:dyDescent="0.25">
      <c r="A37" t="s">
        <v>32</v>
      </c>
      <c r="B37" s="56">
        <f>SUM(B36)</f>
        <v>-500000000</v>
      </c>
      <c r="C37" s="56">
        <f>SUM($B$36:C36)</f>
        <v>-462247333.33333331</v>
      </c>
      <c r="D37" s="56">
        <f>SUM($B$36:D36)</f>
        <v>-423708689.91666663</v>
      </c>
      <c r="E37" s="56">
        <f>SUM($B$36:E36)</f>
        <v>-384368448.46209371</v>
      </c>
      <c r="F37" s="56">
        <f>SUM($B$36:F36)</f>
        <v>-344210677.20861119</v>
      </c>
      <c r="G37" s="56">
        <f>SUM($B$36:G36)</f>
        <v>-303219127.75146568</v>
      </c>
      <c r="H37" s="56">
        <f>SUM($B$36:H36)</f>
        <v>-261377228.74885941</v>
      </c>
      <c r="I37" s="56">
        <f>SUM($B$36:I36)</f>
        <v>-218668079.50357634</v>
      </c>
      <c r="J37" s="56">
        <f>SUM($B$36:J36)</f>
        <v>-172776728.09016255</v>
      </c>
      <c r="K37" s="56">
        <f>SUM($B$36:K36)</f>
        <v>-123475627.41344266</v>
      </c>
      <c r="L37" s="56">
        <f>SUM($B$36:L36)</f>
        <v>-70520959.356544062</v>
      </c>
      <c r="M37" s="56">
        <f>SUM($B$36:M36)</f>
        <v>-13651471.302422822</v>
      </c>
      <c r="N37" s="56">
        <f>SUM($B$36:N36)</f>
        <v>47412770.540502168</v>
      </c>
      <c r="O37" s="56">
        <f>SUM($B$36:O36)</f>
        <v>112971716.95762643</v>
      </c>
      <c r="P37" s="56">
        <f>SUM($B$36:P36)</f>
        <v>183346767.06675997</v>
      </c>
      <c r="Q37" s="56">
        <f>SUM($B$36:Q36)</f>
        <v>258882302.00627142</v>
      </c>
      <c r="R37" s="56">
        <f>SUM($B$36:R36)</f>
        <v>339947328.29140019</v>
      </c>
      <c r="S37" s="56">
        <f>SUM($B$36:S36)</f>
        <v>426937238.68068725</v>
      </c>
      <c r="T37" s="56">
        <f>SUM($B$36:T36)</f>
        <v>520275698.95522398</v>
      </c>
      <c r="U37" s="56">
        <f>SUM($B$36:U36)</f>
        <v>620416669.6142621</v>
      </c>
      <c r="V37" s="56">
        <f>SUM($B$36:V36)</f>
        <v>727846572.13453722</v>
      </c>
      <c r="W37" s="56">
        <f>SUM($B$36:W36)</f>
        <v>843086610.13050413</v>
      </c>
      <c r="X37" s="56">
        <f>SUM($B$36:X36)</f>
        <v>966695256.49185467</v>
      </c>
      <c r="Y37" s="56">
        <f>SUM($B$36:Y36)</f>
        <v>1099270918.3667185</v>
      </c>
      <c r="Z37" s="56">
        <f>SUM($B$36:Z36)</f>
        <v>1241454792.7076106</v>
      </c>
      <c r="AA37" s="56">
        <f>SUM($B$36:AA36)</f>
        <v>1393933926.0065384</v>
      </c>
      <c r="AB37" s="56">
        <f>SUM($B$36:AB36)</f>
        <v>1557444492.8200529</v>
      </c>
      <c r="AC37" s="56">
        <f>SUM($B$36:AC36)</f>
        <v>1732775308.7290757</v>
      </c>
      <c r="AD37" s="56">
        <f>SUM($B$36:AD36)</f>
        <v>1920771594.4970355</v>
      </c>
      <c r="AE37" s="56">
        <f>SUM($B$36:AE36)</f>
        <v>2122339009.3885431</v>
      </c>
      <c r="AF37" s="56">
        <f>SUM($B$36:AF36)</f>
        <v>2338447972.8952446</v>
      </c>
    </row>
    <row r="38" spans="1:33" x14ac:dyDescent="0.25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</row>
    <row r="40" spans="1:33" ht="18.75" x14ac:dyDescent="0.3">
      <c r="A40" s="24" t="s">
        <v>53</v>
      </c>
    </row>
    <row r="41" spans="1:33" s="14" customFormat="1" x14ac:dyDescent="0.25">
      <c r="A41" s="46" t="s">
        <v>50</v>
      </c>
      <c r="B41" s="47">
        <v>2023</v>
      </c>
      <c r="C41" s="47">
        <v>2024</v>
      </c>
      <c r="D41" s="47">
        <v>2025</v>
      </c>
      <c r="E41" s="47">
        <v>2026</v>
      </c>
      <c r="F41" s="47">
        <v>2027</v>
      </c>
      <c r="G41" s="47">
        <v>2028</v>
      </c>
      <c r="H41" s="47">
        <v>2029</v>
      </c>
      <c r="I41" s="47">
        <v>2030</v>
      </c>
      <c r="J41" s="47">
        <v>2031</v>
      </c>
      <c r="K41" s="47">
        <v>2032</v>
      </c>
      <c r="L41" s="47">
        <v>2033</v>
      </c>
      <c r="M41" s="47">
        <v>2034</v>
      </c>
      <c r="N41" s="47">
        <v>2035</v>
      </c>
      <c r="O41" s="47">
        <v>2036</v>
      </c>
      <c r="P41" s="47">
        <v>2037</v>
      </c>
      <c r="Q41" s="47">
        <v>2038</v>
      </c>
      <c r="R41" s="47">
        <v>2039</v>
      </c>
      <c r="S41" s="47">
        <v>2040</v>
      </c>
      <c r="T41" s="47">
        <v>2041</v>
      </c>
      <c r="U41" s="47">
        <v>2042</v>
      </c>
      <c r="V41" s="47">
        <v>2043</v>
      </c>
      <c r="W41" s="47">
        <v>2044</v>
      </c>
      <c r="X41" s="47">
        <v>2045</v>
      </c>
      <c r="Y41" s="47">
        <v>2046</v>
      </c>
      <c r="Z41" s="47">
        <v>2047</v>
      </c>
      <c r="AA41" s="47">
        <v>2048</v>
      </c>
      <c r="AB41" s="47">
        <v>2049</v>
      </c>
      <c r="AC41" s="47">
        <v>2050</v>
      </c>
      <c r="AD41" s="47">
        <v>2051</v>
      </c>
      <c r="AE41" s="47">
        <v>2052</v>
      </c>
      <c r="AG41" s="52"/>
    </row>
    <row r="42" spans="1:33" x14ac:dyDescent="0.25">
      <c r="A42" t="s">
        <v>4</v>
      </c>
      <c r="B42" s="56">
        <f>C32</f>
        <v>50700000</v>
      </c>
      <c r="C42" s="56">
        <f t="shared" ref="C42:AE42" si="8">D32</f>
        <v>51707662.5</v>
      </c>
      <c r="D42" s="56">
        <f t="shared" si="8"/>
        <v>52735352.292187497</v>
      </c>
      <c r="E42" s="56">
        <f t="shared" si="8"/>
        <v>53783467.418994717</v>
      </c>
      <c r="F42" s="56">
        <f t="shared" si="8"/>
        <v>54852413.833947234</v>
      </c>
      <c r="G42" s="56">
        <f t="shared" si="8"/>
        <v>55942605.558896929</v>
      </c>
      <c r="H42" s="56">
        <f t="shared" si="8"/>
        <v>57054464.844379999</v>
      </c>
      <c r="I42" s="56">
        <f t="shared" si="8"/>
        <v>61134211.213778377</v>
      </c>
      <c r="J42" s="56">
        <f t="shared" si="8"/>
        <v>65505684.62827336</v>
      </c>
      <c r="K42" s="56">
        <f t="shared" si="8"/>
        <v>70189745.372092217</v>
      </c>
      <c r="L42" s="56">
        <f t="shared" si="8"/>
        <v>75208745.36853151</v>
      </c>
      <c r="M42" s="56">
        <f t="shared" si="8"/>
        <v>80586634.841356829</v>
      </c>
      <c r="N42" s="56">
        <f t="shared" si="8"/>
        <v>86349076.603150755</v>
      </c>
      <c r="O42" s="56">
        <f t="shared" si="8"/>
        <v>92523568.515983164</v>
      </c>
      <c r="P42" s="56">
        <f t="shared" si="8"/>
        <v>99139574.708775386</v>
      </c>
      <c r="Q42" s="56">
        <f t="shared" si="8"/>
        <v>106228666.17751548</v>
      </c>
      <c r="R42" s="56">
        <f t="shared" si="8"/>
        <v>113824671.43925689</v>
      </c>
      <c r="S42" s="56">
        <f t="shared" si="8"/>
        <v>121963837.9588078</v>
      </c>
      <c r="T42" s="56">
        <f t="shared" si="8"/>
        <v>130685005.11842494</v>
      </c>
      <c r="U42" s="56">
        <f t="shared" si="8"/>
        <v>140029789.55590826</v>
      </c>
      <c r="V42" s="56">
        <f t="shared" si="8"/>
        <v>150042783.7555131</v>
      </c>
      <c r="W42" s="56">
        <f t="shared" si="8"/>
        <v>160771768.83933824</v>
      </c>
      <c r="X42" s="56">
        <f t="shared" si="8"/>
        <v>172267942.57461172</v>
      </c>
      <c r="Y42" s="56">
        <f t="shared" si="8"/>
        <v>184586163.68490452</v>
      </c>
      <c r="Z42" s="56">
        <f t="shared" si="8"/>
        <v>197785213.63110414</v>
      </c>
      <c r="AA42" s="56">
        <f t="shared" si="8"/>
        <v>211928077.11134341</v>
      </c>
      <c r="AB42" s="56">
        <f t="shared" si="8"/>
        <v>227082242.61840534</v>
      </c>
      <c r="AC42" s="56">
        <f t="shared" si="8"/>
        <v>243320024.48883745</v>
      </c>
      <c r="AD42" s="56">
        <f t="shared" si="8"/>
        <v>260718907.9805654</v>
      </c>
      <c r="AE42" s="56">
        <f t="shared" si="8"/>
        <v>279361919.02568597</v>
      </c>
    </row>
    <row r="43" spans="1:33" x14ac:dyDescent="0.25">
      <c r="A43" t="s">
        <v>54</v>
      </c>
      <c r="B43" s="56">
        <f>C33</f>
        <v>-7000000</v>
      </c>
      <c r="C43" s="56">
        <f t="shared" ref="C43:AE43" si="9">D33</f>
        <v>-7000000</v>
      </c>
      <c r="D43" s="56">
        <f t="shared" si="9"/>
        <v>-7000000</v>
      </c>
      <c r="E43" s="56">
        <f t="shared" si="9"/>
        <v>-7000000</v>
      </c>
      <c r="F43" s="56">
        <f t="shared" si="9"/>
        <v>-7000000</v>
      </c>
      <c r="G43" s="56">
        <f t="shared" si="9"/>
        <v>-7000000</v>
      </c>
      <c r="H43" s="56">
        <f t="shared" si="9"/>
        <v>-7000000</v>
      </c>
      <c r="I43" s="56">
        <f t="shared" si="9"/>
        <v>-7000000</v>
      </c>
      <c r="J43" s="56">
        <f t="shared" si="9"/>
        <v>-7000000</v>
      </c>
      <c r="K43" s="56">
        <f t="shared" si="9"/>
        <v>-7000000</v>
      </c>
      <c r="L43" s="56">
        <f t="shared" si="9"/>
        <v>-7000000</v>
      </c>
      <c r="M43" s="56">
        <f t="shared" si="9"/>
        <v>-7000000</v>
      </c>
      <c r="N43" s="56">
        <f t="shared" si="9"/>
        <v>-7000000</v>
      </c>
      <c r="O43" s="56">
        <f t="shared" si="9"/>
        <v>-7000000</v>
      </c>
      <c r="P43" s="56">
        <f t="shared" si="9"/>
        <v>-7000000</v>
      </c>
      <c r="Q43" s="56">
        <f t="shared" si="9"/>
        <v>-7000000</v>
      </c>
      <c r="R43" s="56">
        <f t="shared" si="9"/>
        <v>-7000000</v>
      </c>
      <c r="S43" s="56">
        <f t="shared" si="9"/>
        <v>-7000000</v>
      </c>
      <c r="T43" s="56">
        <f t="shared" si="9"/>
        <v>-7000000</v>
      </c>
      <c r="U43" s="56">
        <f t="shared" si="9"/>
        <v>-7000000</v>
      </c>
      <c r="V43" s="56">
        <f t="shared" si="9"/>
        <v>-7000000</v>
      </c>
      <c r="W43" s="56">
        <f t="shared" si="9"/>
        <v>-7000000</v>
      </c>
      <c r="X43" s="56">
        <f t="shared" si="9"/>
        <v>-7000000</v>
      </c>
      <c r="Y43" s="56">
        <f t="shared" si="9"/>
        <v>-7000000</v>
      </c>
      <c r="Z43" s="56">
        <f t="shared" si="9"/>
        <v>-7000000</v>
      </c>
      <c r="AA43" s="56">
        <f t="shared" si="9"/>
        <v>-7000000</v>
      </c>
      <c r="AB43" s="56">
        <f t="shared" si="9"/>
        <v>-7000000</v>
      </c>
      <c r="AC43" s="56">
        <f t="shared" si="9"/>
        <v>-7000000</v>
      </c>
      <c r="AD43" s="56">
        <f t="shared" si="9"/>
        <v>-7000000</v>
      </c>
      <c r="AE43" s="56">
        <f t="shared" si="9"/>
        <v>-7000000</v>
      </c>
    </row>
    <row r="44" spans="1:33" x14ac:dyDescent="0.25">
      <c r="A44" t="s">
        <v>52</v>
      </c>
      <c r="B44" s="56">
        <f>-$B$11</f>
        <v>-16666666.666666666</v>
      </c>
      <c r="C44" s="56">
        <f t="shared" ref="C44:AE44" si="10">-$B$11</f>
        <v>-16666666.666666666</v>
      </c>
      <c r="D44" s="56">
        <f t="shared" si="10"/>
        <v>-16666666.666666666</v>
      </c>
      <c r="E44" s="56">
        <f t="shared" si="10"/>
        <v>-16666666.666666666</v>
      </c>
      <c r="F44" s="56">
        <f t="shared" si="10"/>
        <v>-16666666.666666666</v>
      </c>
      <c r="G44" s="56">
        <f t="shared" si="10"/>
        <v>-16666666.666666666</v>
      </c>
      <c r="H44" s="56">
        <f t="shared" si="10"/>
        <v>-16666666.666666666</v>
      </c>
      <c r="I44" s="56">
        <f t="shared" si="10"/>
        <v>-16666666.666666666</v>
      </c>
      <c r="J44" s="56">
        <f t="shared" si="10"/>
        <v>-16666666.666666666</v>
      </c>
      <c r="K44" s="56">
        <f t="shared" si="10"/>
        <v>-16666666.666666666</v>
      </c>
      <c r="L44" s="56">
        <f t="shared" si="10"/>
        <v>-16666666.666666666</v>
      </c>
      <c r="M44" s="56">
        <f t="shared" si="10"/>
        <v>-16666666.666666666</v>
      </c>
      <c r="N44" s="56">
        <f t="shared" si="10"/>
        <v>-16666666.666666666</v>
      </c>
      <c r="O44" s="56">
        <f t="shared" si="10"/>
        <v>-16666666.666666666</v>
      </c>
      <c r="P44" s="56">
        <f t="shared" si="10"/>
        <v>-16666666.666666666</v>
      </c>
      <c r="Q44" s="56">
        <f t="shared" si="10"/>
        <v>-16666666.666666666</v>
      </c>
      <c r="R44" s="56">
        <f t="shared" si="10"/>
        <v>-16666666.666666666</v>
      </c>
      <c r="S44" s="56">
        <f t="shared" si="10"/>
        <v>-16666666.666666666</v>
      </c>
      <c r="T44" s="56">
        <f t="shared" si="10"/>
        <v>-16666666.666666666</v>
      </c>
      <c r="U44" s="56">
        <f t="shared" si="10"/>
        <v>-16666666.666666666</v>
      </c>
      <c r="V44" s="56">
        <f t="shared" si="10"/>
        <v>-16666666.666666666</v>
      </c>
      <c r="W44" s="56">
        <f t="shared" si="10"/>
        <v>-16666666.666666666</v>
      </c>
      <c r="X44" s="56">
        <f t="shared" si="10"/>
        <v>-16666666.666666666</v>
      </c>
      <c r="Y44" s="56">
        <f t="shared" si="10"/>
        <v>-16666666.666666666</v>
      </c>
      <c r="Z44" s="56">
        <f t="shared" si="10"/>
        <v>-16666666.666666666</v>
      </c>
      <c r="AA44" s="56">
        <f t="shared" si="10"/>
        <v>-16666666.666666666</v>
      </c>
      <c r="AB44" s="56">
        <f t="shared" si="10"/>
        <v>-16666666.666666666</v>
      </c>
      <c r="AC44" s="56">
        <f t="shared" si="10"/>
        <v>-16666666.666666666</v>
      </c>
      <c r="AD44" s="56">
        <f t="shared" si="10"/>
        <v>-16666666.666666666</v>
      </c>
      <c r="AE44" s="56">
        <f t="shared" si="10"/>
        <v>-16666666.666666666</v>
      </c>
    </row>
    <row r="45" spans="1:33" x14ac:dyDescent="0.25">
      <c r="A45" t="s">
        <v>55</v>
      </c>
      <c r="B45" s="56">
        <f>SUM(B42:B44)</f>
        <v>27033333.333333336</v>
      </c>
      <c r="C45" s="56">
        <f t="shared" ref="C45:AE45" si="11">SUM(C42:C44)</f>
        <v>28040995.833333336</v>
      </c>
      <c r="D45" s="56">
        <f t="shared" si="11"/>
        <v>29068685.625520833</v>
      </c>
      <c r="E45" s="56">
        <f t="shared" si="11"/>
        <v>30116800.752328053</v>
      </c>
      <c r="F45" s="56">
        <f t="shared" si="11"/>
        <v>31185747.16728057</v>
      </c>
      <c r="G45" s="56">
        <f t="shared" si="11"/>
        <v>32275938.892230265</v>
      </c>
      <c r="H45" s="56">
        <f t="shared" si="11"/>
        <v>33387798.177713335</v>
      </c>
      <c r="I45" s="56">
        <f t="shared" si="11"/>
        <v>37467544.547111712</v>
      </c>
      <c r="J45" s="56">
        <f t="shared" si="11"/>
        <v>41839017.961606696</v>
      </c>
      <c r="K45" s="56">
        <f t="shared" si="11"/>
        <v>46523078.705425553</v>
      </c>
      <c r="L45" s="56">
        <f t="shared" si="11"/>
        <v>51542078.701864846</v>
      </c>
      <c r="M45" s="56">
        <f t="shared" si="11"/>
        <v>56919968.174690165</v>
      </c>
      <c r="N45" s="56">
        <f t="shared" si="11"/>
        <v>62682409.936484091</v>
      </c>
      <c r="O45" s="56">
        <f t="shared" si="11"/>
        <v>68856901.849316493</v>
      </c>
      <c r="P45" s="56">
        <f t="shared" si="11"/>
        <v>75472908.042108715</v>
      </c>
      <c r="Q45" s="56">
        <f t="shared" si="11"/>
        <v>82561999.510848805</v>
      </c>
      <c r="R45" s="56">
        <f t="shared" si="11"/>
        <v>90158004.77259022</v>
      </c>
      <c r="S45" s="56">
        <f t="shared" si="11"/>
        <v>98297171.292141125</v>
      </c>
      <c r="T45" s="56">
        <f t="shared" si="11"/>
        <v>107018338.45175827</v>
      </c>
      <c r="U45" s="56">
        <f t="shared" si="11"/>
        <v>116363122.88924159</v>
      </c>
      <c r="V45" s="56">
        <f t="shared" si="11"/>
        <v>126376117.08884643</v>
      </c>
      <c r="W45" s="56">
        <f t="shared" si="11"/>
        <v>137105102.17267159</v>
      </c>
      <c r="X45" s="56">
        <f t="shared" si="11"/>
        <v>148601275.90794507</v>
      </c>
      <c r="Y45" s="56">
        <f t="shared" si="11"/>
        <v>160919497.01823786</v>
      </c>
      <c r="Z45" s="56">
        <f t="shared" si="11"/>
        <v>174118546.96443748</v>
      </c>
      <c r="AA45" s="56">
        <f t="shared" si="11"/>
        <v>188261410.44467676</v>
      </c>
      <c r="AB45" s="56">
        <f t="shared" si="11"/>
        <v>203415575.95173869</v>
      </c>
      <c r="AC45" s="56">
        <f t="shared" si="11"/>
        <v>219653357.82217079</v>
      </c>
      <c r="AD45" s="56">
        <f t="shared" si="11"/>
        <v>237052241.31389874</v>
      </c>
      <c r="AE45" s="56">
        <f t="shared" si="11"/>
        <v>255695252.35901931</v>
      </c>
    </row>
    <row r="46" spans="1:33" x14ac:dyDescent="0.25">
      <c r="A46" t="s">
        <v>51</v>
      </c>
      <c r="B46" s="56">
        <f>B45*$B$22</f>
        <v>5947333.333333334</v>
      </c>
      <c r="C46" s="56">
        <f t="shared" ref="C46:AE46" si="12">C45*$B$22</f>
        <v>6169019.083333334</v>
      </c>
      <c r="D46" s="56">
        <f t="shared" si="12"/>
        <v>6395110.8376145829</v>
      </c>
      <c r="E46" s="56">
        <f t="shared" si="12"/>
        <v>6625696.1655121716</v>
      </c>
      <c r="F46" s="56">
        <f t="shared" si="12"/>
        <v>6860864.3768017255</v>
      </c>
      <c r="G46" s="56">
        <f t="shared" si="12"/>
        <v>7100706.5562906582</v>
      </c>
      <c r="H46" s="56">
        <f t="shared" si="12"/>
        <v>7345315.5990969334</v>
      </c>
      <c r="I46" s="56">
        <f t="shared" si="12"/>
        <v>8242859.8003645772</v>
      </c>
      <c r="J46" s="56">
        <f t="shared" si="12"/>
        <v>9204583.9515534732</v>
      </c>
      <c r="K46" s="56">
        <f t="shared" si="12"/>
        <v>10235077.315193621</v>
      </c>
      <c r="L46" s="56">
        <f t="shared" si="12"/>
        <v>11339257.314410266</v>
      </c>
      <c r="M46" s="56">
        <f t="shared" si="12"/>
        <v>12522392.998431837</v>
      </c>
      <c r="N46" s="56">
        <f t="shared" si="12"/>
        <v>13790130.186026501</v>
      </c>
      <c r="O46" s="56">
        <f t="shared" si="12"/>
        <v>15148518.406849628</v>
      </c>
      <c r="P46" s="56">
        <f t="shared" si="12"/>
        <v>16604039.769263918</v>
      </c>
      <c r="Q46" s="56">
        <f t="shared" si="12"/>
        <v>18163639.892386738</v>
      </c>
      <c r="R46" s="56">
        <f t="shared" si="12"/>
        <v>19834761.049969848</v>
      </c>
      <c r="S46" s="56">
        <f t="shared" si="12"/>
        <v>21625377.684271049</v>
      </c>
      <c r="T46" s="56">
        <f t="shared" si="12"/>
        <v>23544034.459386818</v>
      </c>
      <c r="U46" s="56">
        <f t="shared" si="12"/>
        <v>25599887.03563315</v>
      </c>
      <c r="V46" s="56">
        <f t="shared" si="12"/>
        <v>27802745.759546217</v>
      </c>
      <c r="W46" s="56">
        <f t="shared" si="12"/>
        <v>30163122.477987748</v>
      </c>
      <c r="X46" s="56">
        <f t="shared" si="12"/>
        <v>32692280.699747916</v>
      </c>
      <c r="Y46" s="56">
        <f t="shared" si="12"/>
        <v>35402289.344012327</v>
      </c>
      <c r="Z46" s="56">
        <f t="shared" si="12"/>
        <v>38306080.332176246</v>
      </c>
      <c r="AA46" s="56">
        <f t="shared" si="12"/>
        <v>41417510.29782889</v>
      </c>
      <c r="AB46" s="56">
        <f t="shared" si="12"/>
        <v>44751426.709382512</v>
      </c>
      <c r="AC46" s="56">
        <f t="shared" si="12"/>
        <v>48323738.720877573</v>
      </c>
      <c r="AD46" s="56">
        <f t="shared" si="12"/>
        <v>52151493.089057721</v>
      </c>
      <c r="AE46" s="56">
        <f t="shared" si="12"/>
        <v>56252955.518984251</v>
      </c>
    </row>
    <row r="48" spans="1:33" x14ac:dyDescent="0.25">
      <c r="A48" s="38" t="s">
        <v>7</v>
      </c>
      <c r="B48" s="38"/>
      <c r="C48" s="20"/>
      <c r="D48" s="20"/>
      <c r="E48" s="20"/>
      <c r="F48" s="20"/>
      <c r="G48" s="20"/>
      <c r="H48" s="20"/>
      <c r="I48" s="20"/>
      <c r="J48" s="20"/>
      <c r="K48" s="20"/>
    </row>
    <row r="49" spans="1:22" x14ac:dyDescent="0.25">
      <c r="A49" t="s">
        <v>8</v>
      </c>
      <c r="B49" s="54">
        <f>NPV(B21,C36:AF36)</f>
        <v>822170827.29213035</v>
      </c>
      <c r="D49" s="22"/>
    </row>
    <row r="50" spans="1:22" x14ac:dyDescent="0.25">
      <c r="A50" s="23" t="s">
        <v>1</v>
      </c>
      <c r="B50" s="60">
        <f>NPV(B21,C36:AF36)+B36</f>
        <v>322170827.29213035</v>
      </c>
    </row>
    <row r="51" spans="1:22" x14ac:dyDescent="0.25">
      <c r="A51" s="21" t="s">
        <v>9</v>
      </c>
      <c r="B51" s="5">
        <f>IRR(B36:AF36)</f>
        <v>0.1121892845364898</v>
      </c>
    </row>
    <row r="52" spans="1:22" x14ac:dyDescent="0.25"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spans="1:22" x14ac:dyDescent="0.25"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spans="1:22" x14ac:dyDescent="0.25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49"/>
      <c r="M54" s="22"/>
    </row>
    <row r="55" spans="1:22" x14ac:dyDescent="0.25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M55" s="22"/>
    </row>
    <row r="56" spans="1:22" x14ac:dyDescent="0.25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M56" s="22"/>
    </row>
    <row r="57" spans="1:22" x14ac:dyDescent="0.25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M57" s="22"/>
    </row>
    <row r="58" spans="1:22" x14ac:dyDescent="0.25">
      <c r="B58" s="20"/>
      <c r="C58" s="20"/>
      <c r="D58" s="20"/>
      <c r="E58" s="20"/>
      <c r="F58" s="20"/>
      <c r="G58" s="20"/>
      <c r="H58" s="20"/>
      <c r="I58" s="20"/>
      <c r="J58" s="20"/>
      <c r="K58" s="20"/>
      <c r="M58" s="22"/>
    </row>
    <row r="59" spans="1:22" x14ac:dyDescent="0.25"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22" x14ac:dyDescent="0.25"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22" x14ac:dyDescent="0.25">
      <c r="B61" s="20"/>
      <c r="C61" s="20"/>
      <c r="D61" s="20"/>
      <c r="E61" s="20"/>
      <c r="F61" s="20"/>
      <c r="G61" s="20"/>
      <c r="H61" s="20"/>
      <c r="I61" s="20"/>
      <c r="J61" s="20"/>
      <c r="K61" s="20"/>
      <c r="M61" s="22"/>
    </row>
    <row r="62" spans="1:22" x14ac:dyDescent="0.25">
      <c r="A62" s="48"/>
      <c r="B62" s="48"/>
      <c r="C62" s="20"/>
      <c r="D62" s="20"/>
      <c r="E62" s="20"/>
      <c r="F62" s="20"/>
      <c r="M62" s="22"/>
    </row>
    <row r="63" spans="1:22" x14ac:dyDescent="0.25">
      <c r="B63" s="20"/>
      <c r="C63" s="20"/>
      <c r="D63" s="20"/>
      <c r="E63" s="20"/>
      <c r="F63" s="20"/>
      <c r="M63" s="22"/>
    </row>
    <row r="64" spans="1:22" x14ac:dyDescent="0.25">
      <c r="B64" s="20"/>
      <c r="C64" s="20"/>
      <c r="D64" s="20"/>
      <c r="E64" s="20"/>
      <c r="F64" s="20"/>
      <c r="M64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219B-411F-40C5-8512-D3B499F68745}">
  <dimension ref="A1:AP129"/>
  <sheetViews>
    <sheetView tabSelected="1" topLeftCell="A26" zoomScale="40" zoomScaleNormal="40" workbookViewId="0">
      <selection activeCell="AC25" sqref="AC25"/>
    </sheetView>
  </sheetViews>
  <sheetFormatPr defaultColWidth="8.85546875" defaultRowHeight="15" x14ac:dyDescent="0.25"/>
  <cols>
    <col min="1" max="1" width="56.140625" bestFit="1" customWidth="1"/>
    <col min="2" max="2" width="18.28515625" style="3" bestFit="1" customWidth="1"/>
    <col min="3" max="3" width="17.7109375" style="3" bestFit="1" customWidth="1"/>
    <col min="4" max="4" width="28.42578125" bestFit="1" customWidth="1"/>
    <col min="5" max="5" width="24.140625" bestFit="1" customWidth="1"/>
    <col min="6" max="8" width="19" bestFit="1" customWidth="1"/>
    <col min="9" max="10" width="24.140625" bestFit="1" customWidth="1"/>
    <col min="11" max="13" width="19" bestFit="1" customWidth="1"/>
    <col min="14" max="24" width="15.42578125" bestFit="1" customWidth="1"/>
    <col min="25" max="32" width="17" bestFit="1" customWidth="1"/>
    <col min="33" max="33" width="10.7109375" bestFit="1" customWidth="1"/>
    <col min="34" max="42" width="9.140625" bestFit="1" customWidth="1"/>
  </cols>
  <sheetData>
    <row r="1" spans="1:42" s="25" customFormat="1" ht="18.75" x14ac:dyDescent="0.3">
      <c r="B1" s="26"/>
      <c r="C1" s="26"/>
    </row>
    <row r="2" spans="1:42" s="25" customFormat="1" ht="18.75" x14ac:dyDescent="0.3">
      <c r="A2" s="24" t="s">
        <v>0</v>
      </c>
      <c r="B2" s="26"/>
      <c r="C2" s="26"/>
    </row>
    <row r="3" spans="1:42" x14ac:dyDescent="0.25">
      <c r="B3"/>
      <c r="C3"/>
    </row>
    <row r="4" spans="1:42" ht="21" x14ac:dyDescent="0.35">
      <c r="A4" s="43" t="s">
        <v>1</v>
      </c>
      <c r="B4" s="55">
        <f>NPV(B21,C36:AF36)+B36</f>
        <v>322170827.29213035</v>
      </c>
      <c r="C4"/>
    </row>
    <row r="5" spans="1:42" x14ac:dyDescent="0.25">
      <c r="B5" s="56"/>
    </row>
    <row r="6" spans="1:42" x14ac:dyDescent="0.25">
      <c r="A6" s="27"/>
      <c r="B6" s="57"/>
    </row>
    <row r="7" spans="1:42" x14ac:dyDescent="0.25">
      <c r="A7" t="s">
        <v>2</v>
      </c>
      <c r="B7" s="28">
        <f>500000000*(1+F120)</f>
        <v>500000000</v>
      </c>
    </row>
    <row r="8" spans="1:42" x14ac:dyDescent="0.25">
      <c r="A8" t="s">
        <v>43</v>
      </c>
      <c r="B8" s="28">
        <f>7000000*(1+L120)</f>
        <v>7000000</v>
      </c>
    </row>
    <row r="9" spans="1:42" x14ac:dyDescent="0.25">
      <c r="B9" s="54"/>
    </row>
    <row r="10" spans="1:42" x14ac:dyDescent="0.25">
      <c r="A10" t="s">
        <v>44</v>
      </c>
      <c r="B10" s="29">
        <v>30</v>
      </c>
      <c r="C10" s="3" t="s">
        <v>45</v>
      </c>
    </row>
    <row r="11" spans="1:42" x14ac:dyDescent="0.25">
      <c r="A11" t="s">
        <v>52</v>
      </c>
      <c r="B11" s="28">
        <f>B7/30</f>
        <v>16666666.666666666</v>
      </c>
    </row>
    <row r="12" spans="1:42" x14ac:dyDescent="0.25">
      <c r="B12" s="54"/>
    </row>
    <row r="13" spans="1:42" x14ac:dyDescent="0.25">
      <c r="A13" t="s">
        <v>46</v>
      </c>
      <c r="B13" s="3">
        <f>130000000*(1+H120)</f>
        <v>130000000</v>
      </c>
      <c r="C13" s="3" t="s">
        <v>47</v>
      </c>
      <c r="F13" s="4"/>
    </row>
    <row r="14" spans="1:42" x14ac:dyDescent="0.25">
      <c r="A14" t="s">
        <v>48</v>
      </c>
      <c r="B14" s="30">
        <v>5.0000000000000001E-3</v>
      </c>
      <c r="C14"/>
      <c r="F14" s="4"/>
    </row>
    <row r="15" spans="1:42" x14ac:dyDescent="0.25">
      <c r="B15"/>
      <c r="C15" s="31">
        <v>2023</v>
      </c>
      <c r="D15" s="31">
        <v>2024</v>
      </c>
      <c r="E15" s="31">
        <v>2025</v>
      </c>
      <c r="F15" s="31">
        <v>2026</v>
      </c>
      <c r="G15" s="31">
        <v>2027</v>
      </c>
      <c r="H15" s="31">
        <v>2028</v>
      </c>
      <c r="I15" s="31">
        <v>2029</v>
      </c>
      <c r="J15" s="31">
        <v>2030</v>
      </c>
      <c r="K15" s="31">
        <v>2031</v>
      </c>
      <c r="L15" s="31">
        <v>2032</v>
      </c>
      <c r="M15" s="31">
        <v>2033</v>
      </c>
      <c r="N15" s="31">
        <v>2034</v>
      </c>
      <c r="O15" s="31">
        <v>2035</v>
      </c>
      <c r="P15" s="31">
        <v>2036</v>
      </c>
      <c r="Q15" s="31">
        <v>2037</v>
      </c>
      <c r="R15" s="31">
        <v>2038</v>
      </c>
      <c r="S15" s="31">
        <v>2039</v>
      </c>
      <c r="T15" s="31">
        <v>2040</v>
      </c>
      <c r="U15" s="31">
        <v>2041</v>
      </c>
      <c r="V15" s="31">
        <v>2042</v>
      </c>
      <c r="W15" s="31">
        <v>2043</v>
      </c>
      <c r="X15" s="31">
        <v>2044</v>
      </c>
      <c r="Y15" s="31">
        <v>2045</v>
      </c>
      <c r="Z15" s="31">
        <v>2046</v>
      </c>
      <c r="AA15" s="31">
        <v>2047</v>
      </c>
      <c r="AB15" s="31">
        <v>2048</v>
      </c>
      <c r="AC15" s="31">
        <v>2049</v>
      </c>
      <c r="AD15" s="31">
        <v>2050</v>
      </c>
      <c r="AE15" s="31">
        <v>2051</v>
      </c>
      <c r="AF15" s="31">
        <v>2052</v>
      </c>
      <c r="AG15" s="32"/>
      <c r="AH15" s="32"/>
      <c r="AI15" s="32"/>
      <c r="AJ15" s="32"/>
      <c r="AK15" s="32"/>
      <c r="AL15" s="32"/>
      <c r="AM15" s="32"/>
      <c r="AN15" s="32"/>
      <c r="AO15" s="32"/>
      <c r="AP15" s="32"/>
    </row>
    <row r="16" spans="1:42" x14ac:dyDescent="0.25">
      <c r="B16"/>
      <c r="C16" s="29">
        <f>B13</f>
        <v>130000000</v>
      </c>
      <c r="D16" s="3">
        <f>C16*(1-$B$14)</f>
        <v>129350000</v>
      </c>
      <c r="E16" s="3">
        <f t="shared" ref="E16:AF16" si="0">D16*(1-$B$14)</f>
        <v>128703250</v>
      </c>
      <c r="F16" s="3">
        <f t="shared" si="0"/>
        <v>128059733.75</v>
      </c>
      <c r="G16" s="3">
        <f t="shared" si="0"/>
        <v>127419435.08125</v>
      </c>
      <c r="H16" s="3">
        <f t="shared" si="0"/>
        <v>126782337.90584375</v>
      </c>
      <c r="I16" s="3">
        <f t="shared" si="0"/>
        <v>126148426.21631452</v>
      </c>
      <c r="J16" s="3">
        <f t="shared" si="0"/>
        <v>125517684.08523296</v>
      </c>
      <c r="K16" s="3">
        <f t="shared" si="0"/>
        <v>124890095.6648068</v>
      </c>
      <c r="L16" s="3">
        <f t="shared" si="0"/>
        <v>124265645.18648276</v>
      </c>
      <c r="M16" s="3">
        <f t="shared" si="0"/>
        <v>123644316.96055034</v>
      </c>
      <c r="N16" s="3">
        <f t="shared" si="0"/>
        <v>123026095.37574759</v>
      </c>
      <c r="O16" s="3">
        <f t="shared" si="0"/>
        <v>122410964.89886886</v>
      </c>
      <c r="P16" s="3">
        <f t="shared" si="0"/>
        <v>121798910.07437451</v>
      </c>
      <c r="Q16" s="3">
        <f t="shared" si="0"/>
        <v>121189915.52400264</v>
      </c>
      <c r="R16" s="3">
        <f t="shared" si="0"/>
        <v>120583965.94638263</v>
      </c>
      <c r="S16" s="3">
        <f t="shared" si="0"/>
        <v>119981046.11665072</v>
      </c>
      <c r="T16" s="3">
        <f t="shared" si="0"/>
        <v>119381140.88606746</v>
      </c>
      <c r="U16" s="3">
        <f t="shared" si="0"/>
        <v>118784235.18163712</v>
      </c>
      <c r="V16" s="3">
        <f t="shared" si="0"/>
        <v>118190314.00572893</v>
      </c>
      <c r="W16" s="3">
        <f t="shared" si="0"/>
        <v>117599362.43570028</v>
      </c>
      <c r="X16" s="3">
        <f t="shared" si="0"/>
        <v>117011365.62352178</v>
      </c>
      <c r="Y16" s="3">
        <f t="shared" si="0"/>
        <v>116426308.79540417</v>
      </c>
      <c r="Z16" s="3">
        <f t="shared" si="0"/>
        <v>115844177.25142714</v>
      </c>
      <c r="AA16" s="3">
        <f t="shared" si="0"/>
        <v>115264956.36517</v>
      </c>
      <c r="AB16" s="3">
        <f t="shared" si="0"/>
        <v>114688631.58334415</v>
      </c>
      <c r="AC16" s="3">
        <f t="shared" si="0"/>
        <v>114115188.42542742</v>
      </c>
      <c r="AD16" s="3">
        <f t="shared" si="0"/>
        <v>113544612.48330028</v>
      </c>
      <c r="AE16" s="3">
        <f t="shared" si="0"/>
        <v>112976889.42088377</v>
      </c>
      <c r="AF16" s="3">
        <f t="shared" si="0"/>
        <v>112412004.97377935</v>
      </c>
      <c r="AG16" s="3"/>
    </row>
    <row r="17" spans="1:33" x14ac:dyDescent="0.25">
      <c r="B17"/>
      <c r="C17" s="31">
        <v>2023</v>
      </c>
      <c r="D17" s="31">
        <v>2024</v>
      </c>
      <c r="E17" s="31">
        <v>2025</v>
      </c>
      <c r="F17" s="31">
        <v>2026</v>
      </c>
      <c r="G17" s="31">
        <v>2027</v>
      </c>
      <c r="H17" s="31">
        <v>2028</v>
      </c>
      <c r="I17" s="31">
        <v>2029</v>
      </c>
      <c r="J17" s="31">
        <v>2030</v>
      </c>
      <c r="K17" s="31">
        <v>2031</v>
      </c>
      <c r="L17" s="31">
        <v>2032</v>
      </c>
      <c r="M17" s="31">
        <v>2033</v>
      </c>
      <c r="N17" s="31">
        <v>2034</v>
      </c>
      <c r="O17" s="31">
        <v>2035</v>
      </c>
      <c r="P17" s="31">
        <v>2036</v>
      </c>
      <c r="Q17" s="31">
        <v>2037</v>
      </c>
      <c r="R17" s="31">
        <v>2038</v>
      </c>
      <c r="S17" s="31">
        <v>2039</v>
      </c>
      <c r="T17" s="31">
        <v>2040</v>
      </c>
      <c r="U17" s="31">
        <v>2041</v>
      </c>
      <c r="V17" s="31">
        <v>2042</v>
      </c>
      <c r="W17" s="31">
        <v>2043</v>
      </c>
      <c r="X17" s="31">
        <v>2044</v>
      </c>
      <c r="Y17" s="31">
        <v>2045</v>
      </c>
      <c r="Z17" s="31">
        <v>2046</v>
      </c>
      <c r="AA17" s="31">
        <v>2047</v>
      </c>
      <c r="AB17" s="31">
        <v>2048</v>
      </c>
      <c r="AC17" s="31">
        <v>2049</v>
      </c>
      <c r="AD17" s="31">
        <v>2050</v>
      </c>
      <c r="AE17" s="31">
        <v>2051</v>
      </c>
      <c r="AF17" s="31">
        <v>2052</v>
      </c>
      <c r="AG17" s="32"/>
    </row>
    <row r="18" spans="1:33" x14ac:dyDescent="0.25">
      <c r="A18" s="18" t="s">
        <v>58</v>
      </c>
      <c r="B18" s="30">
        <f>2.5%+J120</f>
        <v>2.5000000000000001E-2</v>
      </c>
      <c r="C18" s="42">
        <v>0.39</v>
      </c>
      <c r="D18" s="42">
        <f>C18*(1+$B$18)</f>
        <v>0.39974999999999999</v>
      </c>
      <c r="E18" s="42">
        <f t="shared" ref="E18:I18" si="1">D18*(1+$B$18)</f>
        <v>0.40974374999999996</v>
      </c>
      <c r="F18" s="42">
        <f>E18*(1+$B$18)</f>
        <v>0.41998734374999991</v>
      </c>
      <c r="G18" s="42">
        <f t="shared" si="1"/>
        <v>0.43048702734374988</v>
      </c>
      <c r="H18" s="42">
        <f t="shared" si="1"/>
        <v>0.44124920302734361</v>
      </c>
      <c r="I18" s="42">
        <f t="shared" si="1"/>
        <v>0.45228043310302718</v>
      </c>
      <c r="J18" s="42">
        <f>I18*(1+$B$18)^3</f>
        <v>0.48705655827958955</v>
      </c>
      <c r="K18" s="42">
        <f t="shared" ref="K18:AF18" si="2">J18*(1+$B$18)^3</f>
        <v>0.52450664145605608</v>
      </c>
      <c r="L18" s="42">
        <f t="shared" si="2"/>
        <v>0.56483628493426308</v>
      </c>
      <c r="M18" s="42">
        <f t="shared" si="2"/>
        <v>0.60826689990553662</v>
      </c>
      <c r="N18" s="42">
        <f t="shared" si="2"/>
        <v>0.65503692200608565</v>
      </c>
      <c r="O18" s="42">
        <f t="shared" si="2"/>
        <v>0.70540312033720975</v>
      </c>
      <c r="P18" s="42">
        <f t="shared" si="2"/>
        <v>0.7596420071368879</v>
      </c>
      <c r="Q18" s="42">
        <f t="shared" si="2"/>
        <v>0.81805135584189759</v>
      </c>
      <c r="R18" s="42">
        <f t="shared" si="2"/>
        <v>0.8809518358746784</v>
      </c>
      <c r="S18" s="42">
        <f t="shared" si="2"/>
        <v>0.94868877312997979</v>
      </c>
      <c r="T18" s="42">
        <f t="shared" si="2"/>
        <v>1.021634045826427</v>
      </c>
      <c r="U18" s="42">
        <f t="shared" si="2"/>
        <v>1.1001881261312996</v>
      </c>
      <c r="V18" s="42">
        <f t="shared" si="2"/>
        <v>1.1847822787671138</v>
      </c>
      <c r="W18" s="42">
        <f t="shared" si="2"/>
        <v>1.2758809286704413</v>
      </c>
      <c r="X18" s="42">
        <f t="shared" si="2"/>
        <v>1.3739842107014919</v>
      </c>
      <c r="Y18" s="42">
        <f t="shared" si="2"/>
        <v>1.479630715402461</v>
      </c>
      <c r="Z18" s="42">
        <f t="shared" si="2"/>
        <v>1.5934004458789532</v>
      </c>
      <c r="AA18" s="42">
        <f t="shared" si="2"/>
        <v>1.7159180020378644</v>
      </c>
      <c r="AB18" s="42">
        <f t="shared" si="2"/>
        <v>1.8478560096633068</v>
      </c>
      <c r="AC18" s="42">
        <f t="shared" si="2"/>
        <v>1.9899388131563243</v>
      </c>
      <c r="AD18" s="42">
        <f t="shared" si="2"/>
        <v>2.1429464522116719</v>
      </c>
      <c r="AE18" s="42">
        <f t="shared" si="2"/>
        <v>2.3077189442637596</v>
      </c>
      <c r="AF18" s="42">
        <f t="shared" si="2"/>
        <v>2.4851608962125398</v>
      </c>
      <c r="AG18" s="42"/>
    </row>
    <row r="19" spans="1:33" x14ac:dyDescent="0.25">
      <c r="A19" s="53"/>
      <c r="B19" s="9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</row>
    <row r="20" spans="1:33" x14ac:dyDescent="0.25">
      <c r="A20" s="34"/>
      <c r="B20" s="33"/>
      <c r="C20" s="33"/>
      <c r="D20" s="33"/>
      <c r="E20" s="33"/>
    </row>
    <row r="21" spans="1:33" x14ac:dyDescent="0.25">
      <c r="A21" s="19" t="s">
        <v>49</v>
      </c>
      <c r="B21" s="44">
        <f>'Discount rate &amp; power price'!C19 + D120</f>
        <v>7.2444800000000004E-2</v>
      </c>
      <c r="C21" s="35"/>
      <c r="D21" s="36"/>
      <c r="E21" s="37"/>
      <c r="H21" s="19"/>
    </row>
    <row r="22" spans="1:33" x14ac:dyDescent="0.25">
      <c r="A22" s="19" t="s">
        <v>18</v>
      </c>
      <c r="B22" s="45">
        <v>0.22</v>
      </c>
      <c r="C22" s="35"/>
      <c r="D22" s="36"/>
      <c r="E22" s="37"/>
      <c r="H22" s="19"/>
    </row>
    <row r="23" spans="1:33" x14ac:dyDescent="0.25">
      <c r="A23" s="19"/>
      <c r="B23" s="19"/>
      <c r="C23" s="35"/>
      <c r="D23" s="36"/>
      <c r="E23" s="37"/>
      <c r="H23" s="19"/>
    </row>
    <row r="24" spans="1:33" x14ac:dyDescent="0.25">
      <c r="A24" s="19"/>
      <c r="B24" s="19"/>
      <c r="C24" s="35"/>
      <c r="D24" s="36"/>
      <c r="E24" s="37"/>
      <c r="H24" s="19"/>
    </row>
    <row r="26" spans="1:33" x14ac:dyDescent="0.25">
      <c r="B26" s="34"/>
      <c r="C26" s="34"/>
    </row>
    <row r="27" spans="1:33" x14ac:dyDescent="0.25">
      <c r="A27" s="19"/>
      <c r="B27" s="20"/>
      <c r="C27" s="20"/>
    </row>
    <row r="28" spans="1:33" ht="18.75" x14ac:dyDescent="0.3">
      <c r="A28" s="24" t="s">
        <v>3</v>
      </c>
      <c r="B28" s="26"/>
      <c r="C28" s="26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33" ht="15.6" customHeight="1" x14ac:dyDescent="0.25">
      <c r="A29" s="38"/>
      <c r="B29" s="39">
        <v>0</v>
      </c>
      <c r="C29" s="39">
        <f t="shared" ref="C29:AF29" si="3">B29+1</f>
        <v>1</v>
      </c>
      <c r="D29" s="39">
        <f t="shared" si="3"/>
        <v>2</v>
      </c>
      <c r="E29" s="39">
        <f t="shared" si="3"/>
        <v>3</v>
      </c>
      <c r="F29" s="39">
        <f t="shared" si="3"/>
        <v>4</v>
      </c>
      <c r="G29" s="39">
        <f t="shared" si="3"/>
        <v>5</v>
      </c>
      <c r="H29" s="39">
        <f t="shared" si="3"/>
        <v>6</v>
      </c>
      <c r="I29" s="39">
        <f t="shared" si="3"/>
        <v>7</v>
      </c>
      <c r="J29" s="39">
        <f t="shared" si="3"/>
        <v>8</v>
      </c>
      <c r="K29" s="39">
        <f t="shared" si="3"/>
        <v>9</v>
      </c>
      <c r="L29" s="39">
        <f t="shared" si="3"/>
        <v>10</v>
      </c>
      <c r="M29" s="39">
        <f t="shared" si="3"/>
        <v>11</v>
      </c>
      <c r="N29" s="39">
        <f t="shared" si="3"/>
        <v>12</v>
      </c>
      <c r="O29" s="39">
        <f t="shared" si="3"/>
        <v>13</v>
      </c>
      <c r="P29" s="39">
        <f t="shared" si="3"/>
        <v>14</v>
      </c>
      <c r="Q29" s="39">
        <f t="shared" si="3"/>
        <v>15</v>
      </c>
      <c r="R29" s="39">
        <f t="shared" si="3"/>
        <v>16</v>
      </c>
      <c r="S29" s="39">
        <f t="shared" si="3"/>
        <v>17</v>
      </c>
      <c r="T29" s="39">
        <f t="shared" si="3"/>
        <v>18</v>
      </c>
      <c r="U29" s="39">
        <f t="shared" si="3"/>
        <v>19</v>
      </c>
      <c r="V29" s="39">
        <f t="shared" si="3"/>
        <v>20</v>
      </c>
      <c r="W29" s="39">
        <f t="shared" si="3"/>
        <v>21</v>
      </c>
      <c r="X29" s="39">
        <f t="shared" si="3"/>
        <v>22</v>
      </c>
      <c r="Y29" s="39">
        <f t="shared" si="3"/>
        <v>23</v>
      </c>
      <c r="Z29" s="39">
        <f t="shared" si="3"/>
        <v>24</v>
      </c>
      <c r="AA29" s="39">
        <f t="shared" si="3"/>
        <v>25</v>
      </c>
      <c r="AB29" s="39">
        <f t="shared" si="3"/>
        <v>26</v>
      </c>
      <c r="AC29" s="39">
        <f t="shared" si="3"/>
        <v>27</v>
      </c>
      <c r="AD29" s="39">
        <f t="shared" si="3"/>
        <v>28</v>
      </c>
      <c r="AE29" s="39">
        <f t="shared" si="3"/>
        <v>29</v>
      </c>
      <c r="AF29" s="39">
        <f t="shared" si="3"/>
        <v>30</v>
      </c>
    </row>
    <row r="30" spans="1:33" s="14" customFormat="1" x14ac:dyDescent="0.25">
      <c r="A30" s="46" t="s">
        <v>50</v>
      </c>
      <c r="B30" s="46"/>
      <c r="C30" s="47">
        <v>2023</v>
      </c>
      <c r="D30" s="47">
        <v>2024</v>
      </c>
      <c r="E30" s="47">
        <v>2025</v>
      </c>
      <c r="F30" s="47">
        <v>2026</v>
      </c>
      <c r="G30" s="47">
        <v>2027</v>
      </c>
      <c r="H30" s="47">
        <v>2028</v>
      </c>
      <c r="I30" s="47">
        <v>2029</v>
      </c>
      <c r="J30" s="47">
        <v>2030</v>
      </c>
      <c r="K30" s="47">
        <v>2031</v>
      </c>
      <c r="L30" s="47">
        <v>2032</v>
      </c>
      <c r="M30" s="47">
        <v>2033</v>
      </c>
      <c r="N30" s="47">
        <v>2034</v>
      </c>
      <c r="O30" s="47">
        <v>2035</v>
      </c>
      <c r="P30" s="47">
        <v>2036</v>
      </c>
      <c r="Q30" s="47">
        <v>2037</v>
      </c>
      <c r="R30" s="47">
        <v>2038</v>
      </c>
      <c r="S30" s="47">
        <v>2039</v>
      </c>
      <c r="T30" s="47">
        <v>2040</v>
      </c>
      <c r="U30" s="47">
        <v>2041</v>
      </c>
      <c r="V30" s="47">
        <v>2042</v>
      </c>
      <c r="W30" s="47">
        <v>2043</v>
      </c>
      <c r="X30" s="47">
        <v>2044</v>
      </c>
      <c r="Y30" s="47">
        <v>2045</v>
      </c>
      <c r="Z30" s="47">
        <v>2046</v>
      </c>
      <c r="AA30" s="47">
        <v>2047</v>
      </c>
      <c r="AB30" s="47">
        <v>2048</v>
      </c>
      <c r="AC30" s="47">
        <v>2049</v>
      </c>
      <c r="AD30" s="47">
        <v>2050</v>
      </c>
      <c r="AE30" s="47">
        <v>2051</v>
      </c>
      <c r="AF30" s="47">
        <v>2052</v>
      </c>
      <c r="AG30" s="52"/>
    </row>
    <row r="31" spans="1:33" x14ac:dyDescent="0.25">
      <c r="A31" t="s">
        <v>2</v>
      </c>
      <c r="B31" s="56">
        <f>-B7</f>
        <v>-500000000</v>
      </c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</row>
    <row r="32" spans="1:33" x14ac:dyDescent="0.25">
      <c r="A32" s="19" t="s">
        <v>56</v>
      </c>
      <c r="B32" s="56"/>
      <c r="C32" s="56">
        <f>C18*C16</f>
        <v>50700000</v>
      </c>
      <c r="D32" s="56">
        <f t="shared" ref="D32:AF32" si="4">D18*D16</f>
        <v>51707662.5</v>
      </c>
      <c r="E32" s="56">
        <f t="shared" si="4"/>
        <v>52735352.292187497</v>
      </c>
      <c r="F32" s="56">
        <f t="shared" si="4"/>
        <v>53783467.418994717</v>
      </c>
      <c r="G32" s="56">
        <f t="shared" si="4"/>
        <v>54852413.833947234</v>
      </c>
      <c r="H32" s="56">
        <f t="shared" si="4"/>
        <v>55942605.558896929</v>
      </c>
      <c r="I32" s="56">
        <f t="shared" si="4"/>
        <v>57054464.844379999</v>
      </c>
      <c r="J32" s="56">
        <f t="shared" si="4"/>
        <v>61134211.213778377</v>
      </c>
      <c r="K32" s="56">
        <f t="shared" si="4"/>
        <v>65505684.62827336</v>
      </c>
      <c r="L32" s="56">
        <f t="shared" si="4"/>
        <v>70189745.372092217</v>
      </c>
      <c r="M32" s="56">
        <f t="shared" si="4"/>
        <v>75208745.36853151</v>
      </c>
      <c r="N32" s="56">
        <f t="shared" si="4"/>
        <v>80586634.841356829</v>
      </c>
      <c r="O32" s="56">
        <f t="shared" si="4"/>
        <v>86349076.603150755</v>
      </c>
      <c r="P32" s="56">
        <f t="shared" si="4"/>
        <v>92523568.515983164</v>
      </c>
      <c r="Q32" s="56">
        <f t="shared" si="4"/>
        <v>99139574.708775386</v>
      </c>
      <c r="R32" s="56">
        <f t="shared" si="4"/>
        <v>106228666.17751548</v>
      </c>
      <c r="S32" s="56">
        <f t="shared" si="4"/>
        <v>113824671.43925689</v>
      </c>
      <c r="T32" s="56">
        <f t="shared" si="4"/>
        <v>121963837.9588078</v>
      </c>
      <c r="U32" s="56">
        <f t="shared" si="4"/>
        <v>130685005.11842494</v>
      </c>
      <c r="V32" s="56">
        <f t="shared" si="4"/>
        <v>140029789.55590826</v>
      </c>
      <c r="W32" s="56">
        <f t="shared" si="4"/>
        <v>150042783.7555131</v>
      </c>
      <c r="X32" s="56">
        <f t="shared" si="4"/>
        <v>160771768.83933824</v>
      </c>
      <c r="Y32" s="56">
        <f t="shared" si="4"/>
        <v>172267942.57461172</v>
      </c>
      <c r="Z32" s="56">
        <f t="shared" si="4"/>
        <v>184586163.68490452</v>
      </c>
      <c r="AA32" s="56">
        <f t="shared" si="4"/>
        <v>197785213.63110414</v>
      </c>
      <c r="AB32" s="56">
        <f t="shared" si="4"/>
        <v>211928077.11134341</v>
      </c>
      <c r="AC32" s="56">
        <f t="shared" si="4"/>
        <v>227082242.61840534</v>
      </c>
      <c r="AD32" s="56">
        <f t="shared" si="4"/>
        <v>243320024.48883745</v>
      </c>
      <c r="AE32" s="56">
        <f t="shared" si="4"/>
        <v>260718907.9805654</v>
      </c>
      <c r="AF32" s="56">
        <f t="shared" si="4"/>
        <v>279361919.02568597</v>
      </c>
    </row>
    <row r="33" spans="1:33" s="40" customFormat="1" ht="18.75" x14ac:dyDescent="0.3">
      <c r="A33" t="s">
        <v>5</v>
      </c>
      <c r="B33" s="56"/>
      <c r="C33" s="56">
        <f>-$B$8</f>
        <v>-7000000</v>
      </c>
      <c r="D33" s="56">
        <f t="shared" ref="D33:AF33" si="5">-$B$8</f>
        <v>-7000000</v>
      </c>
      <c r="E33" s="56">
        <f t="shared" si="5"/>
        <v>-7000000</v>
      </c>
      <c r="F33" s="56">
        <f t="shared" si="5"/>
        <v>-7000000</v>
      </c>
      <c r="G33" s="56">
        <f t="shared" si="5"/>
        <v>-7000000</v>
      </c>
      <c r="H33" s="56">
        <f t="shared" si="5"/>
        <v>-7000000</v>
      </c>
      <c r="I33" s="56">
        <f t="shared" si="5"/>
        <v>-7000000</v>
      </c>
      <c r="J33" s="56">
        <f t="shared" si="5"/>
        <v>-7000000</v>
      </c>
      <c r="K33" s="56">
        <f t="shared" si="5"/>
        <v>-7000000</v>
      </c>
      <c r="L33" s="56">
        <f t="shared" si="5"/>
        <v>-7000000</v>
      </c>
      <c r="M33" s="56">
        <f t="shared" si="5"/>
        <v>-7000000</v>
      </c>
      <c r="N33" s="56">
        <f t="shared" si="5"/>
        <v>-7000000</v>
      </c>
      <c r="O33" s="56">
        <f t="shared" si="5"/>
        <v>-7000000</v>
      </c>
      <c r="P33" s="56">
        <f t="shared" si="5"/>
        <v>-7000000</v>
      </c>
      <c r="Q33" s="56">
        <f t="shared" si="5"/>
        <v>-7000000</v>
      </c>
      <c r="R33" s="56">
        <f t="shared" si="5"/>
        <v>-7000000</v>
      </c>
      <c r="S33" s="56">
        <f t="shared" si="5"/>
        <v>-7000000</v>
      </c>
      <c r="T33" s="56">
        <f t="shared" si="5"/>
        <v>-7000000</v>
      </c>
      <c r="U33" s="56">
        <f t="shared" si="5"/>
        <v>-7000000</v>
      </c>
      <c r="V33" s="56">
        <f t="shared" si="5"/>
        <v>-7000000</v>
      </c>
      <c r="W33" s="56">
        <f t="shared" si="5"/>
        <v>-7000000</v>
      </c>
      <c r="X33" s="56">
        <f t="shared" si="5"/>
        <v>-7000000</v>
      </c>
      <c r="Y33" s="56">
        <f t="shared" si="5"/>
        <v>-7000000</v>
      </c>
      <c r="Z33" s="56">
        <f t="shared" si="5"/>
        <v>-7000000</v>
      </c>
      <c r="AA33" s="56">
        <f t="shared" si="5"/>
        <v>-7000000</v>
      </c>
      <c r="AB33" s="56">
        <f t="shared" si="5"/>
        <v>-7000000</v>
      </c>
      <c r="AC33" s="56">
        <f t="shared" si="5"/>
        <v>-7000000</v>
      </c>
      <c r="AD33" s="56">
        <f t="shared" si="5"/>
        <v>-7000000</v>
      </c>
      <c r="AE33" s="56">
        <f t="shared" si="5"/>
        <v>-7000000</v>
      </c>
      <c r="AF33" s="56">
        <f t="shared" si="5"/>
        <v>-7000000</v>
      </c>
    </row>
    <row r="34" spans="1:33" x14ac:dyDescent="0.25">
      <c r="B34" s="56"/>
      <c r="C34" s="56">
        <f>-B46</f>
        <v>-5947333.333333334</v>
      </c>
      <c r="D34" s="56">
        <f t="shared" ref="D34:AF34" si="6">-C46</f>
        <v>-6169019.083333334</v>
      </c>
      <c r="E34" s="56">
        <f t="shared" si="6"/>
        <v>-6395110.8376145829</v>
      </c>
      <c r="F34" s="56">
        <f t="shared" si="6"/>
        <v>-6625696.1655121716</v>
      </c>
      <c r="G34" s="56">
        <f t="shared" si="6"/>
        <v>-6860864.3768017255</v>
      </c>
      <c r="H34" s="56">
        <f t="shared" si="6"/>
        <v>-7100706.5562906582</v>
      </c>
      <c r="I34" s="56">
        <f t="shared" si="6"/>
        <v>-7345315.5990969334</v>
      </c>
      <c r="J34" s="56">
        <f t="shared" si="6"/>
        <v>-8242859.8003645772</v>
      </c>
      <c r="K34" s="56">
        <f t="shared" si="6"/>
        <v>-9204583.9515534732</v>
      </c>
      <c r="L34" s="56">
        <f t="shared" si="6"/>
        <v>-10235077.315193621</v>
      </c>
      <c r="M34" s="56">
        <f t="shared" si="6"/>
        <v>-11339257.314410266</v>
      </c>
      <c r="N34" s="56">
        <f t="shared" si="6"/>
        <v>-12522392.998431837</v>
      </c>
      <c r="O34" s="56">
        <f t="shared" si="6"/>
        <v>-13790130.186026501</v>
      </c>
      <c r="P34" s="56">
        <f t="shared" si="6"/>
        <v>-15148518.406849628</v>
      </c>
      <c r="Q34" s="56">
        <f t="shared" si="6"/>
        <v>-16604039.769263918</v>
      </c>
      <c r="R34" s="56">
        <f t="shared" si="6"/>
        <v>-18163639.892386738</v>
      </c>
      <c r="S34" s="56">
        <f t="shared" si="6"/>
        <v>-19834761.049969848</v>
      </c>
      <c r="T34" s="56">
        <f t="shared" si="6"/>
        <v>-21625377.684271049</v>
      </c>
      <c r="U34" s="56">
        <f t="shared" si="6"/>
        <v>-23544034.459386818</v>
      </c>
      <c r="V34" s="56">
        <f t="shared" si="6"/>
        <v>-25599887.03563315</v>
      </c>
      <c r="W34" s="56">
        <f t="shared" si="6"/>
        <v>-27802745.759546217</v>
      </c>
      <c r="X34" s="56">
        <f t="shared" si="6"/>
        <v>-30163122.477987748</v>
      </c>
      <c r="Y34" s="56">
        <f t="shared" si="6"/>
        <v>-32692280.699747916</v>
      </c>
      <c r="Z34" s="56">
        <f t="shared" si="6"/>
        <v>-35402289.344012327</v>
      </c>
      <c r="AA34" s="56">
        <f t="shared" si="6"/>
        <v>-38306080.332176246</v>
      </c>
      <c r="AB34" s="56">
        <f t="shared" si="6"/>
        <v>-41417510.29782889</v>
      </c>
      <c r="AC34" s="56">
        <f t="shared" si="6"/>
        <v>-44751426.709382512</v>
      </c>
      <c r="AD34" s="56">
        <f t="shared" si="6"/>
        <v>-48323738.720877573</v>
      </c>
      <c r="AE34" s="56">
        <f t="shared" si="6"/>
        <v>-52151493.089057721</v>
      </c>
      <c r="AF34" s="56">
        <f t="shared" si="6"/>
        <v>-56252955.518984251</v>
      </c>
    </row>
    <row r="35" spans="1:33" s="41" customFormat="1" x14ac:dyDescent="0.25">
      <c r="A3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8"/>
      <c r="X35" s="58"/>
      <c r="Y35" s="58"/>
      <c r="Z35" s="58"/>
      <c r="AA35" s="58"/>
      <c r="AB35" s="58"/>
      <c r="AC35" s="58"/>
      <c r="AD35" s="58"/>
      <c r="AE35" s="58"/>
      <c r="AF35" s="58"/>
    </row>
    <row r="36" spans="1:33" x14ac:dyDescent="0.25">
      <c r="A36" s="21" t="s">
        <v>6</v>
      </c>
      <c r="B36" s="59">
        <f>SUM(B31:B34)</f>
        <v>-500000000</v>
      </c>
      <c r="C36" s="59">
        <f t="shared" ref="C36:AE36" si="7">SUM(C31:C34)</f>
        <v>37752666.666666664</v>
      </c>
      <c r="D36" s="59">
        <f t="shared" si="7"/>
        <v>38538643.416666664</v>
      </c>
      <c r="E36" s="59">
        <f t="shared" si="7"/>
        <v>39340241.454572916</v>
      </c>
      <c r="F36" s="59">
        <f t="shared" si="7"/>
        <v>40157771.253482543</v>
      </c>
      <c r="G36" s="59">
        <f t="shared" si="7"/>
        <v>40991549.457145512</v>
      </c>
      <c r="H36" s="59">
        <f t="shared" si="7"/>
        <v>41841899.002606273</v>
      </c>
      <c r="I36" s="59">
        <f t="shared" si="7"/>
        <v>42709149.245283067</v>
      </c>
      <c r="J36" s="59">
        <f t="shared" si="7"/>
        <v>45891351.4134138</v>
      </c>
      <c r="K36" s="59">
        <f t="shared" si="7"/>
        <v>49301100.676719889</v>
      </c>
      <c r="L36" s="59">
        <f t="shared" si="7"/>
        <v>52954668.056898594</v>
      </c>
      <c r="M36" s="59">
        <f t="shared" si="7"/>
        <v>56869488.054121241</v>
      </c>
      <c r="N36" s="59">
        <f t="shared" si="7"/>
        <v>61064241.84292499</v>
      </c>
      <c r="O36" s="59">
        <f t="shared" si="7"/>
        <v>65558946.417124256</v>
      </c>
      <c r="P36" s="59">
        <f t="shared" si="7"/>
        <v>70375050.109133542</v>
      </c>
      <c r="Q36" s="59">
        <f t="shared" si="7"/>
        <v>75535534.939511463</v>
      </c>
      <c r="R36" s="59">
        <f t="shared" si="7"/>
        <v>81065026.285128742</v>
      </c>
      <c r="S36" s="59">
        <f t="shared" si="7"/>
        <v>86989910.38928704</v>
      </c>
      <c r="T36" s="59">
        <f t="shared" si="7"/>
        <v>93338460.274536744</v>
      </c>
      <c r="U36" s="59">
        <f t="shared" si="7"/>
        <v>100140970.65903813</v>
      </c>
      <c r="V36" s="59">
        <f t="shared" si="7"/>
        <v>107429902.52027512</v>
      </c>
      <c r="W36" s="59">
        <f t="shared" si="7"/>
        <v>115240037.99596688</v>
      </c>
      <c r="X36" s="59">
        <f t="shared" si="7"/>
        <v>123608646.36135049</v>
      </c>
      <c r="Y36" s="59">
        <f t="shared" si="7"/>
        <v>132575661.8748638</v>
      </c>
      <c r="Z36" s="59">
        <f t="shared" si="7"/>
        <v>142183874.3408922</v>
      </c>
      <c r="AA36" s="59">
        <f t="shared" si="7"/>
        <v>152479133.2989279</v>
      </c>
      <c r="AB36" s="59">
        <f t="shared" si="7"/>
        <v>163510566.81351453</v>
      </c>
      <c r="AC36" s="59">
        <f t="shared" si="7"/>
        <v>175330815.90902284</v>
      </c>
      <c r="AD36" s="59">
        <f t="shared" si="7"/>
        <v>187996285.76795989</v>
      </c>
      <c r="AE36" s="59">
        <f t="shared" si="7"/>
        <v>201567414.89150769</v>
      </c>
      <c r="AF36" s="59">
        <f>SUM(AF31:AF34)</f>
        <v>216108963.50670171</v>
      </c>
    </row>
    <row r="37" spans="1:33" x14ac:dyDescent="0.25">
      <c r="A37" t="s">
        <v>32</v>
      </c>
      <c r="B37" s="56">
        <f>SUM(B36)</f>
        <v>-500000000</v>
      </c>
      <c r="C37" s="56">
        <f>SUM($B$36:C36)</f>
        <v>-462247333.33333331</v>
      </c>
      <c r="D37" s="56">
        <f>SUM($B$36:D36)</f>
        <v>-423708689.91666663</v>
      </c>
      <c r="E37" s="56">
        <f>SUM($B$36:E36)</f>
        <v>-384368448.46209371</v>
      </c>
      <c r="F37" s="56">
        <f>SUM($B$36:F36)</f>
        <v>-344210677.20861119</v>
      </c>
      <c r="G37" s="56">
        <f>SUM($B$36:G36)</f>
        <v>-303219127.75146568</v>
      </c>
      <c r="H37" s="56">
        <f>SUM($B$36:H36)</f>
        <v>-261377228.74885941</v>
      </c>
      <c r="I37" s="56">
        <f>SUM($B$36:I36)</f>
        <v>-218668079.50357634</v>
      </c>
      <c r="J37" s="56">
        <f>SUM($B$36:J36)</f>
        <v>-172776728.09016255</v>
      </c>
      <c r="K37" s="56">
        <f>SUM($B$36:K36)</f>
        <v>-123475627.41344266</v>
      </c>
      <c r="L37" s="56">
        <f>SUM($B$36:L36)</f>
        <v>-70520959.356544062</v>
      </c>
      <c r="M37" s="56">
        <f>SUM($B$36:M36)</f>
        <v>-13651471.302422822</v>
      </c>
      <c r="N37" s="56">
        <f>SUM($B$36:N36)</f>
        <v>47412770.540502168</v>
      </c>
      <c r="O37" s="56">
        <f>SUM($B$36:O36)</f>
        <v>112971716.95762643</v>
      </c>
      <c r="P37" s="56">
        <f>SUM($B$36:P36)</f>
        <v>183346767.06675997</v>
      </c>
      <c r="Q37" s="56">
        <f>SUM($B$36:Q36)</f>
        <v>258882302.00627142</v>
      </c>
      <c r="R37" s="56">
        <f>SUM($B$36:R36)</f>
        <v>339947328.29140019</v>
      </c>
      <c r="S37" s="56">
        <f>SUM($B$36:S36)</f>
        <v>426937238.68068725</v>
      </c>
      <c r="T37" s="56">
        <f>SUM($B$36:T36)</f>
        <v>520275698.95522398</v>
      </c>
      <c r="U37" s="56">
        <f>SUM($B$36:U36)</f>
        <v>620416669.6142621</v>
      </c>
      <c r="V37" s="56">
        <f>SUM($B$36:V36)</f>
        <v>727846572.13453722</v>
      </c>
      <c r="W37" s="56">
        <f>SUM($B$36:W36)</f>
        <v>843086610.13050413</v>
      </c>
      <c r="X37" s="56">
        <f>SUM($B$36:X36)</f>
        <v>966695256.49185467</v>
      </c>
      <c r="Y37" s="56">
        <f>SUM($B$36:Y36)</f>
        <v>1099270918.3667185</v>
      </c>
      <c r="Z37" s="56">
        <f>SUM($B$36:Z36)</f>
        <v>1241454792.7076106</v>
      </c>
      <c r="AA37" s="56">
        <f>SUM($B$36:AA36)</f>
        <v>1393933926.0065384</v>
      </c>
      <c r="AB37" s="56">
        <f>SUM($B$36:AB36)</f>
        <v>1557444492.8200529</v>
      </c>
      <c r="AC37" s="56">
        <f>SUM($B$36:AC36)</f>
        <v>1732775308.7290757</v>
      </c>
      <c r="AD37" s="56">
        <f>SUM($B$36:AD36)</f>
        <v>1920771594.4970355</v>
      </c>
      <c r="AE37" s="56">
        <f>SUM($B$36:AE36)</f>
        <v>2122339009.3885431</v>
      </c>
      <c r="AF37" s="56">
        <f>SUM($B$36:AF36)</f>
        <v>2338447972.8952446</v>
      </c>
    </row>
    <row r="38" spans="1:33" x14ac:dyDescent="0.25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</row>
    <row r="40" spans="1:33" ht="18.75" x14ac:dyDescent="0.3">
      <c r="A40" s="24" t="s">
        <v>53</v>
      </c>
    </row>
    <row r="41" spans="1:33" s="14" customFormat="1" x14ac:dyDescent="0.25">
      <c r="A41" s="46" t="s">
        <v>50</v>
      </c>
      <c r="B41" s="47">
        <v>2023</v>
      </c>
      <c r="C41" s="47">
        <v>2024</v>
      </c>
      <c r="D41" s="47">
        <v>2025</v>
      </c>
      <c r="E41" s="47">
        <v>2026</v>
      </c>
      <c r="F41" s="47">
        <v>2027</v>
      </c>
      <c r="G41" s="47">
        <v>2028</v>
      </c>
      <c r="H41" s="47">
        <v>2029</v>
      </c>
      <c r="I41" s="47">
        <v>2030</v>
      </c>
      <c r="J41" s="47">
        <v>2031</v>
      </c>
      <c r="K41" s="47">
        <v>2032</v>
      </c>
      <c r="L41" s="47">
        <v>2033</v>
      </c>
      <c r="M41" s="47">
        <v>2034</v>
      </c>
      <c r="N41" s="47">
        <v>2035</v>
      </c>
      <c r="O41" s="47">
        <v>2036</v>
      </c>
      <c r="P41" s="47">
        <v>2037</v>
      </c>
      <c r="Q41" s="47">
        <v>2038</v>
      </c>
      <c r="R41" s="47">
        <v>2039</v>
      </c>
      <c r="S41" s="47">
        <v>2040</v>
      </c>
      <c r="T41" s="47">
        <v>2041</v>
      </c>
      <c r="U41" s="47">
        <v>2042</v>
      </c>
      <c r="V41" s="47">
        <v>2043</v>
      </c>
      <c r="W41" s="47">
        <v>2044</v>
      </c>
      <c r="X41" s="47">
        <v>2045</v>
      </c>
      <c r="Y41" s="47">
        <v>2046</v>
      </c>
      <c r="Z41" s="47">
        <v>2047</v>
      </c>
      <c r="AA41" s="47">
        <v>2048</v>
      </c>
      <c r="AB41" s="47">
        <v>2049</v>
      </c>
      <c r="AC41" s="47">
        <v>2050</v>
      </c>
      <c r="AD41" s="47">
        <v>2051</v>
      </c>
      <c r="AE41" s="47">
        <v>2052</v>
      </c>
      <c r="AG41" s="52"/>
    </row>
    <row r="42" spans="1:33" x14ac:dyDescent="0.25">
      <c r="A42" t="s">
        <v>4</v>
      </c>
      <c r="B42" s="56">
        <f>C32</f>
        <v>50700000</v>
      </c>
      <c r="C42" s="56">
        <f t="shared" ref="C42:AE43" si="8">D32</f>
        <v>51707662.5</v>
      </c>
      <c r="D42" s="56">
        <f t="shared" si="8"/>
        <v>52735352.292187497</v>
      </c>
      <c r="E42" s="56">
        <f t="shared" si="8"/>
        <v>53783467.418994717</v>
      </c>
      <c r="F42" s="56">
        <f t="shared" si="8"/>
        <v>54852413.833947234</v>
      </c>
      <c r="G42" s="56">
        <f t="shared" si="8"/>
        <v>55942605.558896929</v>
      </c>
      <c r="H42" s="56">
        <f t="shared" si="8"/>
        <v>57054464.844379999</v>
      </c>
      <c r="I42" s="56">
        <f t="shared" si="8"/>
        <v>61134211.213778377</v>
      </c>
      <c r="J42" s="56">
        <f t="shared" si="8"/>
        <v>65505684.62827336</v>
      </c>
      <c r="K42" s="56">
        <f t="shared" si="8"/>
        <v>70189745.372092217</v>
      </c>
      <c r="L42" s="56">
        <f t="shared" si="8"/>
        <v>75208745.36853151</v>
      </c>
      <c r="M42" s="56">
        <f t="shared" si="8"/>
        <v>80586634.841356829</v>
      </c>
      <c r="N42" s="56">
        <f t="shared" si="8"/>
        <v>86349076.603150755</v>
      </c>
      <c r="O42" s="56">
        <f t="shared" si="8"/>
        <v>92523568.515983164</v>
      </c>
      <c r="P42" s="56">
        <f t="shared" si="8"/>
        <v>99139574.708775386</v>
      </c>
      <c r="Q42" s="56">
        <f t="shared" si="8"/>
        <v>106228666.17751548</v>
      </c>
      <c r="R42" s="56">
        <f t="shared" si="8"/>
        <v>113824671.43925689</v>
      </c>
      <c r="S42" s="56">
        <f t="shared" si="8"/>
        <v>121963837.9588078</v>
      </c>
      <c r="T42" s="56">
        <f t="shared" si="8"/>
        <v>130685005.11842494</v>
      </c>
      <c r="U42" s="56">
        <f t="shared" si="8"/>
        <v>140029789.55590826</v>
      </c>
      <c r="V42" s="56">
        <f t="shared" si="8"/>
        <v>150042783.7555131</v>
      </c>
      <c r="W42" s="56">
        <f t="shared" si="8"/>
        <v>160771768.83933824</v>
      </c>
      <c r="X42" s="56">
        <f t="shared" si="8"/>
        <v>172267942.57461172</v>
      </c>
      <c r="Y42" s="56">
        <f t="shared" si="8"/>
        <v>184586163.68490452</v>
      </c>
      <c r="Z42" s="56">
        <f t="shared" si="8"/>
        <v>197785213.63110414</v>
      </c>
      <c r="AA42" s="56">
        <f t="shared" si="8"/>
        <v>211928077.11134341</v>
      </c>
      <c r="AB42" s="56">
        <f t="shared" si="8"/>
        <v>227082242.61840534</v>
      </c>
      <c r="AC42" s="56">
        <f t="shared" si="8"/>
        <v>243320024.48883745</v>
      </c>
      <c r="AD42" s="56">
        <f t="shared" si="8"/>
        <v>260718907.9805654</v>
      </c>
      <c r="AE42" s="56">
        <f t="shared" si="8"/>
        <v>279361919.02568597</v>
      </c>
    </row>
    <row r="43" spans="1:33" x14ac:dyDescent="0.25">
      <c r="A43" t="s">
        <v>54</v>
      </c>
      <c r="B43" s="56">
        <f>C33</f>
        <v>-7000000</v>
      </c>
      <c r="C43" s="56">
        <f t="shared" si="8"/>
        <v>-7000000</v>
      </c>
      <c r="D43" s="56">
        <f t="shared" si="8"/>
        <v>-7000000</v>
      </c>
      <c r="E43" s="56">
        <f t="shared" si="8"/>
        <v>-7000000</v>
      </c>
      <c r="F43" s="56">
        <f t="shared" si="8"/>
        <v>-7000000</v>
      </c>
      <c r="G43" s="56">
        <f t="shared" si="8"/>
        <v>-7000000</v>
      </c>
      <c r="H43" s="56">
        <f t="shared" si="8"/>
        <v>-7000000</v>
      </c>
      <c r="I43" s="56">
        <f t="shared" si="8"/>
        <v>-7000000</v>
      </c>
      <c r="J43" s="56">
        <f t="shared" si="8"/>
        <v>-7000000</v>
      </c>
      <c r="K43" s="56">
        <f t="shared" si="8"/>
        <v>-7000000</v>
      </c>
      <c r="L43" s="56">
        <f t="shared" si="8"/>
        <v>-7000000</v>
      </c>
      <c r="M43" s="56">
        <f t="shared" si="8"/>
        <v>-7000000</v>
      </c>
      <c r="N43" s="56">
        <f t="shared" si="8"/>
        <v>-7000000</v>
      </c>
      <c r="O43" s="56">
        <f t="shared" si="8"/>
        <v>-7000000</v>
      </c>
      <c r="P43" s="56">
        <f t="shared" si="8"/>
        <v>-7000000</v>
      </c>
      <c r="Q43" s="56">
        <f t="shared" si="8"/>
        <v>-7000000</v>
      </c>
      <c r="R43" s="56">
        <f t="shared" si="8"/>
        <v>-7000000</v>
      </c>
      <c r="S43" s="56">
        <f t="shared" si="8"/>
        <v>-7000000</v>
      </c>
      <c r="T43" s="56">
        <f t="shared" si="8"/>
        <v>-7000000</v>
      </c>
      <c r="U43" s="56">
        <f t="shared" si="8"/>
        <v>-7000000</v>
      </c>
      <c r="V43" s="56">
        <f t="shared" si="8"/>
        <v>-7000000</v>
      </c>
      <c r="W43" s="56">
        <f t="shared" si="8"/>
        <v>-7000000</v>
      </c>
      <c r="X43" s="56">
        <f t="shared" si="8"/>
        <v>-7000000</v>
      </c>
      <c r="Y43" s="56">
        <f t="shared" si="8"/>
        <v>-7000000</v>
      </c>
      <c r="Z43" s="56">
        <f t="shared" si="8"/>
        <v>-7000000</v>
      </c>
      <c r="AA43" s="56">
        <f t="shared" si="8"/>
        <v>-7000000</v>
      </c>
      <c r="AB43" s="56">
        <f t="shared" si="8"/>
        <v>-7000000</v>
      </c>
      <c r="AC43" s="56">
        <f t="shared" si="8"/>
        <v>-7000000</v>
      </c>
      <c r="AD43" s="56">
        <f t="shared" si="8"/>
        <v>-7000000</v>
      </c>
      <c r="AE43" s="56">
        <f t="shared" si="8"/>
        <v>-7000000</v>
      </c>
    </row>
    <row r="44" spans="1:33" x14ac:dyDescent="0.25">
      <c r="A44" t="s">
        <v>52</v>
      </c>
      <c r="B44" s="56">
        <f>-$B$11</f>
        <v>-16666666.666666666</v>
      </c>
      <c r="C44" s="56">
        <f t="shared" ref="C44:AE44" si="9">-$B$11</f>
        <v>-16666666.666666666</v>
      </c>
      <c r="D44" s="56">
        <f t="shared" si="9"/>
        <v>-16666666.666666666</v>
      </c>
      <c r="E44" s="56">
        <f t="shared" si="9"/>
        <v>-16666666.666666666</v>
      </c>
      <c r="F44" s="56">
        <f t="shared" si="9"/>
        <v>-16666666.666666666</v>
      </c>
      <c r="G44" s="56">
        <f t="shared" si="9"/>
        <v>-16666666.666666666</v>
      </c>
      <c r="H44" s="56">
        <f t="shared" si="9"/>
        <v>-16666666.666666666</v>
      </c>
      <c r="I44" s="56">
        <f t="shared" si="9"/>
        <v>-16666666.666666666</v>
      </c>
      <c r="J44" s="56">
        <f t="shared" si="9"/>
        <v>-16666666.666666666</v>
      </c>
      <c r="K44" s="56">
        <f t="shared" si="9"/>
        <v>-16666666.666666666</v>
      </c>
      <c r="L44" s="56">
        <f t="shared" si="9"/>
        <v>-16666666.666666666</v>
      </c>
      <c r="M44" s="56">
        <f t="shared" si="9"/>
        <v>-16666666.666666666</v>
      </c>
      <c r="N44" s="56">
        <f t="shared" si="9"/>
        <v>-16666666.666666666</v>
      </c>
      <c r="O44" s="56">
        <f t="shared" si="9"/>
        <v>-16666666.666666666</v>
      </c>
      <c r="P44" s="56">
        <f t="shared" si="9"/>
        <v>-16666666.666666666</v>
      </c>
      <c r="Q44" s="56">
        <f t="shared" si="9"/>
        <v>-16666666.666666666</v>
      </c>
      <c r="R44" s="56">
        <f t="shared" si="9"/>
        <v>-16666666.666666666</v>
      </c>
      <c r="S44" s="56">
        <f t="shared" si="9"/>
        <v>-16666666.666666666</v>
      </c>
      <c r="T44" s="56">
        <f t="shared" si="9"/>
        <v>-16666666.666666666</v>
      </c>
      <c r="U44" s="56">
        <f t="shared" si="9"/>
        <v>-16666666.666666666</v>
      </c>
      <c r="V44" s="56">
        <f t="shared" si="9"/>
        <v>-16666666.666666666</v>
      </c>
      <c r="W44" s="56">
        <f t="shared" si="9"/>
        <v>-16666666.666666666</v>
      </c>
      <c r="X44" s="56">
        <f t="shared" si="9"/>
        <v>-16666666.666666666</v>
      </c>
      <c r="Y44" s="56">
        <f t="shared" si="9"/>
        <v>-16666666.666666666</v>
      </c>
      <c r="Z44" s="56">
        <f t="shared" si="9"/>
        <v>-16666666.666666666</v>
      </c>
      <c r="AA44" s="56">
        <f t="shared" si="9"/>
        <v>-16666666.666666666</v>
      </c>
      <c r="AB44" s="56">
        <f t="shared" si="9"/>
        <v>-16666666.666666666</v>
      </c>
      <c r="AC44" s="56">
        <f t="shared" si="9"/>
        <v>-16666666.666666666</v>
      </c>
      <c r="AD44" s="56">
        <f t="shared" si="9"/>
        <v>-16666666.666666666</v>
      </c>
      <c r="AE44" s="56">
        <f t="shared" si="9"/>
        <v>-16666666.666666666</v>
      </c>
    </row>
    <row r="45" spans="1:33" x14ac:dyDescent="0.25">
      <c r="A45" t="s">
        <v>55</v>
      </c>
      <c r="B45" s="56">
        <f>SUM(B42:B44)</f>
        <v>27033333.333333336</v>
      </c>
      <c r="C45" s="56">
        <f t="shared" ref="C45:AE45" si="10">SUM(C42:C44)</f>
        <v>28040995.833333336</v>
      </c>
      <c r="D45" s="56">
        <f t="shared" si="10"/>
        <v>29068685.625520833</v>
      </c>
      <c r="E45" s="56">
        <f t="shared" si="10"/>
        <v>30116800.752328053</v>
      </c>
      <c r="F45" s="56">
        <f t="shared" si="10"/>
        <v>31185747.16728057</v>
      </c>
      <c r="G45" s="56">
        <f t="shared" si="10"/>
        <v>32275938.892230265</v>
      </c>
      <c r="H45" s="56">
        <f t="shared" si="10"/>
        <v>33387798.177713335</v>
      </c>
      <c r="I45" s="56">
        <f t="shared" si="10"/>
        <v>37467544.547111712</v>
      </c>
      <c r="J45" s="56">
        <f t="shared" si="10"/>
        <v>41839017.961606696</v>
      </c>
      <c r="K45" s="56">
        <f t="shared" si="10"/>
        <v>46523078.705425553</v>
      </c>
      <c r="L45" s="56">
        <f t="shared" si="10"/>
        <v>51542078.701864846</v>
      </c>
      <c r="M45" s="56">
        <f t="shared" si="10"/>
        <v>56919968.174690165</v>
      </c>
      <c r="N45" s="56">
        <f t="shared" si="10"/>
        <v>62682409.936484091</v>
      </c>
      <c r="O45" s="56">
        <f t="shared" si="10"/>
        <v>68856901.849316493</v>
      </c>
      <c r="P45" s="56">
        <f t="shared" si="10"/>
        <v>75472908.042108715</v>
      </c>
      <c r="Q45" s="56">
        <f t="shared" si="10"/>
        <v>82561999.510848805</v>
      </c>
      <c r="R45" s="56">
        <f t="shared" si="10"/>
        <v>90158004.77259022</v>
      </c>
      <c r="S45" s="56">
        <f t="shared" si="10"/>
        <v>98297171.292141125</v>
      </c>
      <c r="T45" s="56">
        <f t="shared" si="10"/>
        <v>107018338.45175827</v>
      </c>
      <c r="U45" s="56">
        <f t="shared" si="10"/>
        <v>116363122.88924159</v>
      </c>
      <c r="V45" s="56">
        <f t="shared" si="10"/>
        <v>126376117.08884643</v>
      </c>
      <c r="W45" s="56">
        <f t="shared" si="10"/>
        <v>137105102.17267159</v>
      </c>
      <c r="X45" s="56">
        <f t="shared" si="10"/>
        <v>148601275.90794507</v>
      </c>
      <c r="Y45" s="56">
        <f t="shared" si="10"/>
        <v>160919497.01823786</v>
      </c>
      <c r="Z45" s="56">
        <f t="shared" si="10"/>
        <v>174118546.96443748</v>
      </c>
      <c r="AA45" s="56">
        <f t="shared" si="10"/>
        <v>188261410.44467676</v>
      </c>
      <c r="AB45" s="56">
        <f t="shared" si="10"/>
        <v>203415575.95173869</v>
      </c>
      <c r="AC45" s="56">
        <f t="shared" si="10"/>
        <v>219653357.82217079</v>
      </c>
      <c r="AD45" s="56">
        <f t="shared" si="10"/>
        <v>237052241.31389874</v>
      </c>
      <c r="AE45" s="56">
        <f t="shared" si="10"/>
        <v>255695252.35901931</v>
      </c>
    </row>
    <row r="46" spans="1:33" x14ac:dyDescent="0.25">
      <c r="A46" t="s">
        <v>51</v>
      </c>
      <c r="B46" s="56">
        <f>B45*$B$22</f>
        <v>5947333.333333334</v>
      </c>
      <c r="C46" s="56">
        <f t="shared" ref="C46:AE46" si="11">C45*$B$22</f>
        <v>6169019.083333334</v>
      </c>
      <c r="D46" s="56">
        <f t="shared" si="11"/>
        <v>6395110.8376145829</v>
      </c>
      <c r="E46" s="56">
        <f t="shared" si="11"/>
        <v>6625696.1655121716</v>
      </c>
      <c r="F46" s="56">
        <f t="shared" si="11"/>
        <v>6860864.3768017255</v>
      </c>
      <c r="G46" s="56">
        <f t="shared" si="11"/>
        <v>7100706.5562906582</v>
      </c>
      <c r="H46" s="56">
        <f t="shared" si="11"/>
        <v>7345315.5990969334</v>
      </c>
      <c r="I46" s="56">
        <f t="shared" si="11"/>
        <v>8242859.8003645772</v>
      </c>
      <c r="J46" s="56">
        <f t="shared" si="11"/>
        <v>9204583.9515534732</v>
      </c>
      <c r="K46" s="56">
        <f t="shared" si="11"/>
        <v>10235077.315193621</v>
      </c>
      <c r="L46" s="56">
        <f t="shared" si="11"/>
        <v>11339257.314410266</v>
      </c>
      <c r="M46" s="56">
        <f t="shared" si="11"/>
        <v>12522392.998431837</v>
      </c>
      <c r="N46" s="56">
        <f t="shared" si="11"/>
        <v>13790130.186026501</v>
      </c>
      <c r="O46" s="56">
        <f t="shared" si="11"/>
        <v>15148518.406849628</v>
      </c>
      <c r="P46" s="56">
        <f t="shared" si="11"/>
        <v>16604039.769263918</v>
      </c>
      <c r="Q46" s="56">
        <f t="shared" si="11"/>
        <v>18163639.892386738</v>
      </c>
      <c r="R46" s="56">
        <f t="shared" si="11"/>
        <v>19834761.049969848</v>
      </c>
      <c r="S46" s="56">
        <f t="shared" si="11"/>
        <v>21625377.684271049</v>
      </c>
      <c r="T46" s="56">
        <f t="shared" si="11"/>
        <v>23544034.459386818</v>
      </c>
      <c r="U46" s="56">
        <f t="shared" si="11"/>
        <v>25599887.03563315</v>
      </c>
      <c r="V46" s="56">
        <f t="shared" si="11"/>
        <v>27802745.759546217</v>
      </c>
      <c r="W46" s="56">
        <f t="shared" si="11"/>
        <v>30163122.477987748</v>
      </c>
      <c r="X46" s="56">
        <f t="shared" si="11"/>
        <v>32692280.699747916</v>
      </c>
      <c r="Y46" s="56">
        <f t="shared" si="11"/>
        <v>35402289.344012327</v>
      </c>
      <c r="Z46" s="56">
        <f t="shared" si="11"/>
        <v>38306080.332176246</v>
      </c>
      <c r="AA46" s="56">
        <f t="shared" si="11"/>
        <v>41417510.29782889</v>
      </c>
      <c r="AB46" s="56">
        <f t="shared" si="11"/>
        <v>44751426.709382512</v>
      </c>
      <c r="AC46" s="56">
        <f t="shared" si="11"/>
        <v>48323738.720877573</v>
      </c>
      <c r="AD46" s="56">
        <f t="shared" si="11"/>
        <v>52151493.089057721</v>
      </c>
      <c r="AE46" s="56">
        <f t="shared" si="11"/>
        <v>56252955.518984251</v>
      </c>
    </row>
    <row r="48" spans="1:33" x14ac:dyDescent="0.25">
      <c r="A48" s="38" t="s">
        <v>7</v>
      </c>
      <c r="B48" s="38"/>
      <c r="C48" s="20"/>
      <c r="D48" s="20"/>
      <c r="E48" s="20"/>
      <c r="F48" s="20"/>
      <c r="G48" s="20"/>
      <c r="H48" s="20"/>
      <c r="I48" s="20"/>
      <c r="J48" s="20"/>
      <c r="K48" s="20"/>
    </row>
    <row r="49" spans="1:32" x14ac:dyDescent="0.25">
      <c r="A49" t="s">
        <v>8</v>
      </c>
      <c r="B49" s="54">
        <f>NPV(B21,C36:AF36)</f>
        <v>822170827.29213035</v>
      </c>
      <c r="D49" s="22"/>
    </row>
    <row r="50" spans="1:32" x14ac:dyDescent="0.25">
      <c r="A50" s="23" t="s">
        <v>1</v>
      </c>
      <c r="B50" s="60">
        <f>NPV(B21,C36:AF36)+B36</f>
        <v>322170827.29213035</v>
      </c>
    </row>
    <row r="51" spans="1:32" x14ac:dyDescent="0.25">
      <c r="A51" s="21" t="s">
        <v>9</v>
      </c>
      <c r="B51" s="5">
        <f>IRR(B36:AF36)</f>
        <v>0.1121892845364898</v>
      </c>
    </row>
    <row r="52" spans="1:32" x14ac:dyDescent="0.25"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spans="1:32" x14ac:dyDescent="0.25"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spans="1:32" x14ac:dyDescent="0.25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49"/>
      <c r="M54" s="22"/>
    </row>
    <row r="55" spans="1:32" ht="18.75" x14ac:dyDescent="0.3">
      <c r="A55" s="24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8"/>
      <c r="M55" s="69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</row>
    <row r="56" spans="1:32" x14ac:dyDescent="0.25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M56" s="22"/>
    </row>
    <row r="57" spans="1:32" x14ac:dyDescent="0.25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M57" s="22"/>
    </row>
    <row r="58" spans="1:32" x14ac:dyDescent="0.25">
      <c r="B58" s="20"/>
      <c r="C58" s="20"/>
      <c r="D58" s="20"/>
      <c r="E58" s="20"/>
      <c r="F58" s="20"/>
      <c r="G58" s="20"/>
      <c r="H58" s="20"/>
      <c r="I58" s="20"/>
      <c r="J58" s="20"/>
      <c r="K58" s="20"/>
      <c r="M58" s="22"/>
    </row>
    <row r="59" spans="1:32" x14ac:dyDescent="0.25">
      <c r="A59" s="48"/>
      <c r="B59" s="48"/>
      <c r="C59" s="20"/>
      <c r="D59" s="20"/>
      <c r="E59" s="20"/>
      <c r="F59" s="20"/>
      <c r="M59" s="22"/>
    </row>
    <row r="60" spans="1:32" ht="15.75" x14ac:dyDescent="0.3">
      <c r="B60" s="20"/>
      <c r="C60" s="20"/>
      <c r="D60" s="92" t="s">
        <v>59</v>
      </c>
      <c r="E60" s="92"/>
      <c r="F60" s="92"/>
      <c r="G60" s="92"/>
      <c r="H60" s="92"/>
      <c r="I60" s="92"/>
      <c r="J60" s="92"/>
      <c r="K60" s="92"/>
      <c r="L60" s="92"/>
      <c r="M60" s="92"/>
    </row>
    <row r="61" spans="1:32" x14ac:dyDescent="0.25">
      <c r="B61" s="20"/>
      <c r="C61" s="20"/>
      <c r="D61" s="61" t="s">
        <v>60</v>
      </c>
      <c r="E61" s="71">
        <v>-0.02</v>
      </c>
      <c r="F61" s="71">
        <v>-1.4999999999999999E-2</v>
      </c>
      <c r="G61" s="71">
        <v>-0.01</v>
      </c>
      <c r="H61" s="71">
        <v>-5.0000000000000001E-3</v>
      </c>
      <c r="I61" s="71">
        <v>0</v>
      </c>
      <c r="J61" s="71">
        <v>5.0000000000000001E-3</v>
      </c>
      <c r="K61" s="71">
        <v>0.01</v>
      </c>
      <c r="L61" s="72">
        <v>1.4999999999999999E-2</v>
      </c>
      <c r="M61" s="72">
        <v>0.02</v>
      </c>
    </row>
    <row r="62" spans="1:32" x14ac:dyDescent="0.25">
      <c r="D62" s="3"/>
      <c r="E62" s="91" t="s">
        <v>49</v>
      </c>
      <c r="F62" s="91"/>
      <c r="G62" s="91"/>
      <c r="H62" s="91"/>
      <c r="I62" s="91"/>
      <c r="J62" s="91"/>
      <c r="K62" s="91"/>
      <c r="L62" s="91"/>
      <c r="M62" s="91"/>
    </row>
    <row r="63" spans="1:32" x14ac:dyDescent="0.25">
      <c r="D63" s="62"/>
      <c r="E63" s="63">
        <f t="shared" ref="E63:G63" si="12">$I$63+E61</f>
        <v>5.2400000000000002E-2</v>
      </c>
      <c r="F63" s="63">
        <f t="shared" si="12"/>
        <v>5.7400000000000007E-2</v>
      </c>
      <c r="G63" s="63">
        <f t="shared" si="12"/>
        <v>6.2400000000000004E-2</v>
      </c>
      <c r="H63" s="63">
        <f>$I$63+H61</f>
        <v>6.7400000000000002E-2</v>
      </c>
      <c r="I63" s="63">
        <v>7.2400000000000006E-2</v>
      </c>
      <c r="J63" s="63">
        <f>$I$63+J61</f>
        <v>7.740000000000001E-2</v>
      </c>
      <c r="K63" s="63">
        <f t="shared" ref="K63:M63" si="13">$I$63+K61</f>
        <v>8.2400000000000001E-2</v>
      </c>
      <c r="L63" s="63">
        <f t="shared" si="13"/>
        <v>8.7400000000000005E-2</v>
      </c>
      <c r="M63" s="63">
        <f t="shared" si="13"/>
        <v>9.240000000000001E-2</v>
      </c>
    </row>
    <row r="64" spans="1:32" x14ac:dyDescent="0.25">
      <c r="D64" s="64">
        <f>B4</f>
        <v>322170827.29213035</v>
      </c>
      <c r="E64" s="65">
        <f t="dataTable" ref="E64:M64" dt2D="0" dtr="1" r1="B21"/>
        <v>607787328.32520461</v>
      </c>
      <c r="F64" s="66">
        <v>525165697.34764898</v>
      </c>
      <c r="G64" s="66">
        <v>450698559.12847996</v>
      </c>
      <c r="H64" s="66">
        <v>383473467.03037</v>
      </c>
      <c r="I64" s="66">
        <v>322688551.61248195</v>
      </c>
      <c r="J64" s="66">
        <v>267638300.30348921</v>
      </c>
      <c r="K64" s="65">
        <v>217701255.98521936</v>
      </c>
      <c r="L64" s="65">
        <v>172329364.68848753</v>
      </c>
      <c r="M64" s="65">
        <v>131038741.93676865</v>
      </c>
    </row>
    <row r="74" spans="4:13" ht="15.75" x14ac:dyDescent="0.3">
      <c r="D74" s="92" t="s">
        <v>62</v>
      </c>
      <c r="E74" s="92"/>
      <c r="F74" s="92"/>
      <c r="G74" s="92"/>
      <c r="H74" s="92"/>
      <c r="I74" s="92"/>
      <c r="J74" s="92"/>
      <c r="K74" s="92"/>
      <c r="L74" s="92"/>
      <c r="M74" s="92"/>
    </row>
    <row r="75" spans="4:13" x14ac:dyDescent="0.25">
      <c r="D75" s="61" t="s">
        <v>60</v>
      </c>
      <c r="E75" s="73">
        <v>-0.4</v>
      </c>
      <c r="F75" s="73">
        <v>-0.3</v>
      </c>
      <c r="G75" s="73">
        <v>-0.2</v>
      </c>
      <c r="H75" s="73">
        <v>-0.1</v>
      </c>
      <c r="I75" s="73">
        <v>0</v>
      </c>
      <c r="J75" s="73">
        <v>0.1</v>
      </c>
      <c r="K75" s="73">
        <v>0.2</v>
      </c>
      <c r="L75" s="74">
        <v>0.3</v>
      </c>
      <c r="M75" s="74">
        <v>0.4</v>
      </c>
    </row>
    <row r="76" spans="4:13" x14ac:dyDescent="0.25">
      <c r="D76" s="3"/>
      <c r="E76" s="91" t="s">
        <v>63</v>
      </c>
      <c r="F76" s="91"/>
      <c r="G76" s="91"/>
      <c r="H76" s="91"/>
      <c r="I76" s="91"/>
      <c r="J76" s="91"/>
      <c r="K76" s="91"/>
      <c r="L76" s="91"/>
      <c r="M76" s="91"/>
    </row>
    <row r="77" spans="4:13" x14ac:dyDescent="0.25">
      <c r="D77" s="62"/>
      <c r="E77" s="70">
        <f t="shared" ref="E77:G77" si="14">$I$77*(1+E75)</f>
        <v>78000000</v>
      </c>
      <c r="F77" s="70">
        <f t="shared" si="14"/>
        <v>91000000</v>
      </c>
      <c r="G77" s="70">
        <f t="shared" si="14"/>
        <v>104000000</v>
      </c>
      <c r="H77" s="70">
        <f>$I$77*(1+H75)</f>
        <v>117000000</v>
      </c>
      <c r="I77" s="70">
        <v>130000000</v>
      </c>
      <c r="J77" s="70">
        <f>$I$77*(1+J75)</f>
        <v>143000000</v>
      </c>
      <c r="K77" s="70">
        <f t="shared" ref="K77:M77" si="15">$I$77*(1+K75)</f>
        <v>156000000</v>
      </c>
      <c r="L77" s="70">
        <f t="shared" si="15"/>
        <v>169000000</v>
      </c>
      <c r="M77" s="70">
        <f t="shared" si="15"/>
        <v>182000000</v>
      </c>
    </row>
    <row r="78" spans="4:13" x14ac:dyDescent="0.25">
      <c r="D78" s="64">
        <f>B4</f>
        <v>322170827.29213035</v>
      </c>
      <c r="E78" s="65">
        <f t="dataTable" ref="E78:M78" dt2D="0" dtr="1" r1="B13" ca="1"/>
        <v>-15384605.783864319</v>
      </c>
      <c r="F78" s="66">
        <v>69004252.485134244</v>
      </c>
      <c r="G78" s="66">
        <v>153393110.75413311</v>
      </c>
      <c r="H78" s="66">
        <v>237781969.02313173</v>
      </c>
      <c r="I78" s="66">
        <v>322170827.29213035</v>
      </c>
      <c r="J78" s="66">
        <v>406559685.56112885</v>
      </c>
      <c r="K78" s="65">
        <v>490948543.83012795</v>
      </c>
      <c r="L78" s="56">
        <v>575337402.09912682</v>
      </c>
      <c r="M78" s="56">
        <v>659726260.36812544</v>
      </c>
    </row>
    <row r="88" spans="4:13" ht="15.75" x14ac:dyDescent="0.3">
      <c r="D88" s="92" t="s">
        <v>64</v>
      </c>
      <c r="E88" s="92"/>
      <c r="F88" s="92"/>
      <c r="G88" s="92"/>
      <c r="H88" s="92"/>
      <c r="I88" s="92"/>
      <c r="J88" s="92"/>
      <c r="K88" s="92"/>
      <c r="L88" s="92"/>
      <c r="M88" s="92"/>
    </row>
    <row r="89" spans="4:13" x14ac:dyDescent="0.25">
      <c r="D89" s="61" t="s">
        <v>60</v>
      </c>
      <c r="E89" s="71">
        <v>-0.02</v>
      </c>
      <c r="F89" s="71">
        <v>-1.4999999999999999E-2</v>
      </c>
      <c r="G89" s="71">
        <v>-0.01</v>
      </c>
      <c r="H89" s="71">
        <v>-5.0000000000000001E-3</v>
      </c>
      <c r="I89" s="71">
        <v>0</v>
      </c>
      <c r="J89" s="71">
        <v>5.0000000000000001E-3</v>
      </c>
      <c r="K89" s="71">
        <v>0.01</v>
      </c>
      <c r="L89" s="72">
        <v>1.4999999999999999E-2</v>
      </c>
      <c r="M89" s="72">
        <v>0.02</v>
      </c>
    </row>
    <row r="90" spans="4:13" x14ac:dyDescent="0.25">
      <c r="D90" s="3"/>
      <c r="E90" s="91" t="s">
        <v>90</v>
      </c>
      <c r="F90" s="91"/>
      <c r="G90" s="91"/>
      <c r="H90" s="91"/>
      <c r="I90" s="91"/>
      <c r="J90" s="91"/>
      <c r="K90" s="91"/>
      <c r="L90" s="91"/>
      <c r="M90" s="91"/>
    </row>
    <row r="91" spans="4:13" x14ac:dyDescent="0.25">
      <c r="D91" s="75"/>
      <c r="E91" s="76">
        <f t="shared" ref="E91:G91" si="16">$I$91+E89</f>
        <v>5.000000000000001E-3</v>
      </c>
      <c r="F91" s="76">
        <f t="shared" si="16"/>
        <v>1.0000000000000002E-2</v>
      </c>
      <c r="G91" s="76">
        <f t="shared" si="16"/>
        <v>1.5000000000000001E-2</v>
      </c>
      <c r="H91" s="76">
        <f>$I$91+H89</f>
        <v>0.02</v>
      </c>
      <c r="I91" s="76">
        <v>2.5000000000000001E-2</v>
      </c>
      <c r="J91" s="76">
        <f>$I$91+J89</f>
        <v>3.0000000000000002E-2</v>
      </c>
      <c r="K91" s="76">
        <f t="shared" ref="K91:M91" si="17">$I$91+K89</f>
        <v>3.5000000000000003E-2</v>
      </c>
      <c r="L91" s="76">
        <f t="shared" si="17"/>
        <v>0.04</v>
      </c>
      <c r="M91" s="76">
        <f t="shared" si="17"/>
        <v>4.4999999999999998E-2</v>
      </c>
    </row>
    <row r="92" spans="4:13" x14ac:dyDescent="0.25">
      <c r="D92" s="64">
        <f>B4</f>
        <v>322170827.29213035</v>
      </c>
      <c r="E92" s="65">
        <f t="dataTable" ref="E92:M92" dt2D="0" dtr="1" r1="B18" ca="1"/>
        <v>-17085315.154294848</v>
      </c>
      <c r="F92" s="66">
        <v>41840187.920350671</v>
      </c>
      <c r="G92" s="66">
        <v>114990859.1310029</v>
      </c>
      <c r="H92" s="66">
        <v>206577790.32856226</v>
      </c>
      <c r="I92" s="66">
        <v>322170827.29213035</v>
      </c>
      <c r="J92" s="66">
        <v>469156412.94037199</v>
      </c>
      <c r="K92" s="65">
        <v>657353106.13729644</v>
      </c>
      <c r="L92" s="65">
        <v>899839587.99411368</v>
      </c>
      <c r="M92" s="65">
        <v>1214069050.7029388</v>
      </c>
    </row>
    <row r="103" spans="4:13" ht="15.75" x14ac:dyDescent="0.3">
      <c r="D103" s="92" t="s">
        <v>65</v>
      </c>
      <c r="E103" s="92"/>
      <c r="F103" s="92"/>
      <c r="G103" s="92"/>
      <c r="H103" s="92"/>
      <c r="I103" s="92"/>
      <c r="J103" s="92"/>
      <c r="K103" s="92"/>
      <c r="L103" s="92"/>
      <c r="M103" s="92"/>
    </row>
    <row r="104" spans="4:13" x14ac:dyDescent="0.25">
      <c r="D104" s="61" t="s">
        <v>60</v>
      </c>
      <c r="E104" s="73">
        <v>-0.2</v>
      </c>
      <c r="F104" s="73">
        <v>-0.15</v>
      </c>
      <c r="G104" s="73">
        <v>-0.1</v>
      </c>
      <c r="H104" s="73">
        <v>-0.05</v>
      </c>
      <c r="I104" s="73">
        <v>0</v>
      </c>
      <c r="J104" s="73">
        <v>0.05</v>
      </c>
      <c r="K104" s="73">
        <v>0.1</v>
      </c>
      <c r="L104" s="74">
        <v>0.15</v>
      </c>
      <c r="M104" s="74">
        <v>0.2</v>
      </c>
    </row>
    <row r="105" spans="4:13" x14ac:dyDescent="0.25">
      <c r="D105" s="3"/>
      <c r="E105" s="91" t="s">
        <v>2</v>
      </c>
      <c r="F105" s="91"/>
      <c r="G105" s="91"/>
      <c r="H105" s="91"/>
      <c r="I105" s="91"/>
      <c r="J105" s="91"/>
      <c r="K105" s="91"/>
      <c r="L105" s="91"/>
      <c r="M105" s="91"/>
    </row>
    <row r="106" spans="4:13" x14ac:dyDescent="0.25">
      <c r="D106" s="62"/>
      <c r="E106" s="77">
        <f t="shared" ref="E106:G106" si="18">$I$106*(1+E104)</f>
        <v>400000000</v>
      </c>
      <c r="F106" s="77">
        <f t="shared" si="18"/>
        <v>425000000</v>
      </c>
      <c r="G106" s="77">
        <f t="shared" si="18"/>
        <v>450000000</v>
      </c>
      <c r="H106" s="77">
        <f>$I$106*(1+H104)</f>
        <v>475000000</v>
      </c>
      <c r="I106" s="77">
        <v>500000000</v>
      </c>
      <c r="J106" s="77">
        <f>$I$106*(1+J104)</f>
        <v>525000000</v>
      </c>
      <c r="K106" s="77">
        <f t="shared" ref="K106:M106" si="19">$I$106*(1+K104)</f>
        <v>550000000</v>
      </c>
      <c r="L106" s="77">
        <f t="shared" si="19"/>
        <v>575000000</v>
      </c>
      <c r="M106" s="77">
        <f t="shared" si="19"/>
        <v>600000000</v>
      </c>
    </row>
    <row r="107" spans="4:13" x14ac:dyDescent="0.25">
      <c r="D107" s="64">
        <f>B4</f>
        <v>322170827.29213035</v>
      </c>
      <c r="E107" s="65">
        <f t="dataTable" ref="E107:M107" dt2D="0" dtr="1" r1="B7" ca="1"/>
        <v>413289960.7725606</v>
      </c>
      <c r="F107" s="66">
        <v>390510177.40245318</v>
      </c>
      <c r="G107" s="66">
        <v>367730394.03234565</v>
      </c>
      <c r="H107" s="66">
        <v>344950610.66223788</v>
      </c>
      <c r="I107" s="66">
        <v>322170827.29213035</v>
      </c>
      <c r="J107" s="66">
        <v>299391043.92202258</v>
      </c>
      <c r="K107" s="65">
        <v>276611260.55191541</v>
      </c>
      <c r="L107" s="56">
        <v>253831477.18180764</v>
      </c>
      <c r="M107" s="56">
        <v>231051693.81169987</v>
      </c>
    </row>
    <row r="118" spans="4:13" ht="15.75" x14ac:dyDescent="0.25">
      <c r="D118" s="93" t="s">
        <v>49</v>
      </c>
      <c r="E118" s="93"/>
      <c r="F118" s="93" t="s">
        <v>66</v>
      </c>
      <c r="G118" s="93"/>
      <c r="H118" s="93" t="s">
        <v>78</v>
      </c>
      <c r="I118" s="93"/>
      <c r="J118" s="93" t="s">
        <v>79</v>
      </c>
      <c r="K118" s="93"/>
      <c r="L118" s="93" t="s">
        <v>54</v>
      </c>
      <c r="M118" s="93"/>
    </row>
    <row r="119" spans="4:13" x14ac:dyDescent="0.25">
      <c r="D119" s="78" t="s">
        <v>67</v>
      </c>
      <c r="E119" s="78" t="s">
        <v>68</v>
      </c>
      <c r="F119" s="78" t="s">
        <v>67</v>
      </c>
      <c r="G119" s="78" t="s">
        <v>68</v>
      </c>
      <c r="H119" s="78" t="s">
        <v>67</v>
      </c>
      <c r="I119" s="78" t="s">
        <v>68</v>
      </c>
      <c r="J119" s="78" t="s">
        <v>67</v>
      </c>
      <c r="K119" s="78" t="s">
        <v>68</v>
      </c>
      <c r="L119" s="78" t="s">
        <v>67</v>
      </c>
      <c r="M119" s="78" t="s">
        <v>68</v>
      </c>
    </row>
    <row r="120" spans="4:13" x14ac:dyDescent="0.25">
      <c r="D120" s="79">
        <v>0</v>
      </c>
      <c r="E120" s="80">
        <f>$B$4</f>
        <v>322170827.29213035</v>
      </c>
      <c r="F120" s="81">
        <v>0</v>
      </c>
      <c r="G120" s="80">
        <f>$B$4</f>
        <v>322170827.29213035</v>
      </c>
      <c r="H120" s="79">
        <v>0</v>
      </c>
      <c r="I120" s="80">
        <f>$B$4</f>
        <v>322170827.29213035</v>
      </c>
      <c r="J120" s="79">
        <v>0</v>
      </c>
      <c r="K120" s="85">
        <f>$B$4</f>
        <v>322170827.29213035</v>
      </c>
      <c r="L120" s="79">
        <v>0</v>
      </c>
      <c r="M120" s="80">
        <f>$B$4</f>
        <v>322170827.29213035</v>
      </c>
    </row>
    <row r="121" spans="4:13" x14ac:dyDescent="0.25">
      <c r="D121" s="81">
        <v>-0.01</v>
      </c>
      <c r="E121" s="80">
        <f t="dataTable" ref="E121:E122" dt2D="0" dtr="0" r1="D120" ca="1"/>
        <v>450065343.63063264</v>
      </c>
      <c r="F121" s="81">
        <v>-0.05</v>
      </c>
      <c r="G121" s="80">
        <f t="dataTable" ref="G121:G122" dt2D="0" dtr="0" r1="F120" ca="1"/>
        <v>344950610.66223788</v>
      </c>
      <c r="H121" s="81">
        <v>-0.05</v>
      </c>
      <c r="I121" s="80">
        <f t="dataTable" ref="I121:I122" dt2D="0" dtr="0" r1="H120" ca="1"/>
        <v>279976398.15763128</v>
      </c>
      <c r="J121" s="81">
        <v>-0.01</v>
      </c>
      <c r="K121" s="85">
        <f t="dataTable" ref="K121:K122" dt2D="0" dtr="0" r1="J120" ca="1"/>
        <v>114990859.1310029</v>
      </c>
      <c r="L121" s="81">
        <v>-0.05</v>
      </c>
      <c r="M121" s="80">
        <f t="dataTable" ref="M121:M122" dt2D="0" dtr="0" r1="L120" ca="1"/>
        <v>325476931.69191563</v>
      </c>
    </row>
    <row r="122" spans="4:13" x14ac:dyDescent="0.25">
      <c r="D122" s="81">
        <v>0.01</v>
      </c>
      <c r="E122" s="80">
        <v>217275222.87718296</v>
      </c>
      <c r="F122" s="81">
        <v>0.05</v>
      </c>
      <c r="G122" s="80">
        <v>299391043.92202258</v>
      </c>
      <c r="H122" s="81">
        <v>0.05</v>
      </c>
      <c r="I122" s="80">
        <v>364365256.42662966</v>
      </c>
      <c r="J122" s="81">
        <v>0.01</v>
      </c>
      <c r="K122" s="85">
        <v>657353106.13729644</v>
      </c>
      <c r="L122" s="81">
        <v>0.05</v>
      </c>
      <c r="M122" s="80">
        <v>318864722.89234543</v>
      </c>
    </row>
    <row r="124" spans="4:13" ht="15.75" x14ac:dyDescent="0.25">
      <c r="E124" s="82" t="s">
        <v>0</v>
      </c>
      <c r="F124" s="82" t="s">
        <v>69</v>
      </c>
      <c r="G124" s="82" t="s">
        <v>70</v>
      </c>
      <c r="H124" s="82" t="s">
        <v>71</v>
      </c>
      <c r="I124" s="82" t="s">
        <v>72</v>
      </c>
      <c r="J124" s="82" t="s">
        <v>73</v>
      </c>
      <c r="K124" s="82" t="s">
        <v>74</v>
      </c>
      <c r="L124" s="82" t="s">
        <v>75</v>
      </c>
    </row>
    <row r="125" spans="4:13" x14ac:dyDescent="0.25">
      <c r="E125" t="s">
        <v>76</v>
      </c>
      <c r="F125" s="83">
        <f>E121/E120-1</f>
        <v>0.39697733470614072</v>
      </c>
      <c r="G125" s="83">
        <f>ABS(F125)</f>
        <v>0.39697733470614072</v>
      </c>
      <c r="H125" s="14">
        <v>1</v>
      </c>
      <c r="I125" s="83">
        <f>SMALL($G$125:$G$129,H125)</f>
        <v>1.0261960797547376E-2</v>
      </c>
      <c r="J125" t="str">
        <f>INDEX($E$125:$I$129,MATCH(I125,$G$125:$G$129,0),MATCH($E$125,$E$125:$I$125,0))</f>
        <v>Total costs +/-5%</v>
      </c>
      <c r="K125" s="84">
        <f>I125</f>
        <v>1.0261960797547376E-2</v>
      </c>
      <c r="L125" s="84">
        <f>-K125</f>
        <v>-1.0261960797547376E-2</v>
      </c>
    </row>
    <row r="126" spans="4:13" x14ac:dyDescent="0.25">
      <c r="E126" t="s">
        <v>82</v>
      </c>
      <c r="F126" s="83">
        <f>G121/G120-1</f>
        <v>7.0707157322633218E-2</v>
      </c>
      <c r="G126" s="83">
        <f t="shared" ref="G126:G129" si="20">ABS(F126)</f>
        <v>7.0707157322633218E-2</v>
      </c>
      <c r="H126" s="14">
        <v>2</v>
      </c>
      <c r="I126" s="83">
        <f>SMALL($G$125:$G$129,H126)</f>
        <v>7.0707157322633218E-2</v>
      </c>
      <c r="J126" t="str">
        <f>INDEX($E$125:$I$129,MATCH(I126,$G$125:$G$129,0),MATCH($E$125,$E$125:$I$125,0))</f>
        <v>Initial investment +/-10%</v>
      </c>
      <c r="K126" s="84">
        <f t="shared" ref="K126:K129" si="21">I126</f>
        <v>7.0707157322633218E-2</v>
      </c>
      <c r="L126" s="84">
        <f t="shared" ref="L126:L129" si="22">-K126</f>
        <v>-7.0707157322633218E-2</v>
      </c>
    </row>
    <row r="127" spans="4:13" x14ac:dyDescent="0.25">
      <c r="E127" t="s">
        <v>80</v>
      </c>
      <c r="F127" s="83">
        <f>I121/I120-1</f>
        <v>-0.13096911812017986</v>
      </c>
      <c r="G127" s="83">
        <f t="shared" si="20"/>
        <v>0.13096911812017986</v>
      </c>
      <c r="H127" s="14">
        <v>3</v>
      </c>
      <c r="I127" s="83">
        <f>SMALL($G$125:$G$129,H127)</f>
        <v>0.13096911812017986</v>
      </c>
      <c r="J127" t="str">
        <f>INDEX($E$125:$I$129,MATCH(I127,$G$125:$G$129,0),MATCH($E$125,$E$125:$I$125,0))</f>
        <v>Expected production +/- 5%</v>
      </c>
      <c r="K127" s="84">
        <f t="shared" si="21"/>
        <v>0.13096911812017986</v>
      </c>
      <c r="L127" s="84">
        <f t="shared" si="22"/>
        <v>-0.13096911812017986</v>
      </c>
    </row>
    <row r="128" spans="4:13" x14ac:dyDescent="0.25">
      <c r="E128" t="s">
        <v>81</v>
      </c>
      <c r="F128" s="83">
        <f>K121/K120-1</f>
        <v>-0.64307488639642019</v>
      </c>
      <c r="G128" s="83">
        <f t="shared" si="20"/>
        <v>0.64307488639642019</v>
      </c>
      <c r="H128" s="14">
        <v>4</v>
      </c>
      <c r="I128" s="83">
        <f>SMALL($G$125:$G$129,H128)</f>
        <v>0.39697733470614072</v>
      </c>
      <c r="J128" t="str">
        <f>INDEX($E$125:$I$129,MATCH(I128,$G$125:$G$129,0),MATCH($E$125,$E$125:$I$125,0))</f>
        <v>Discount rate +/-1%</v>
      </c>
      <c r="K128" s="84">
        <f t="shared" si="21"/>
        <v>0.39697733470614072</v>
      </c>
      <c r="L128" s="84">
        <f t="shared" si="22"/>
        <v>-0.39697733470614072</v>
      </c>
    </row>
    <row r="129" spans="5:12" x14ac:dyDescent="0.25">
      <c r="E129" t="s">
        <v>77</v>
      </c>
      <c r="F129" s="83">
        <f>M121/M120-1</f>
        <v>1.0261960797547376E-2</v>
      </c>
      <c r="G129" s="83">
        <f t="shared" si="20"/>
        <v>1.0261960797547376E-2</v>
      </c>
      <c r="H129" s="14">
        <v>5</v>
      </c>
      <c r="I129" s="83">
        <f>SMALL($G$125:$G$129,H129)</f>
        <v>0.64307488639642019</v>
      </c>
      <c r="J129" t="str">
        <f>INDEX($E$125:$I$129,MATCH(I129,$G$125:$G$129,0),MATCH($E$125,$E$125:$I$125,0))</f>
        <v>Power price growth +/- 1%</v>
      </c>
      <c r="K129" s="84">
        <f t="shared" si="21"/>
        <v>0.64307488639642019</v>
      </c>
      <c r="L129" s="84">
        <f t="shared" si="22"/>
        <v>-0.64307488639642019</v>
      </c>
    </row>
  </sheetData>
  <mergeCells count="13">
    <mergeCell ref="D103:M103"/>
    <mergeCell ref="E105:M105"/>
    <mergeCell ref="D118:E118"/>
    <mergeCell ref="F118:G118"/>
    <mergeCell ref="H118:I118"/>
    <mergeCell ref="J118:K118"/>
    <mergeCell ref="L118:M118"/>
    <mergeCell ref="E90:M90"/>
    <mergeCell ref="D60:M60"/>
    <mergeCell ref="E62:M62"/>
    <mergeCell ref="D74:M74"/>
    <mergeCell ref="E76:M76"/>
    <mergeCell ref="D88:M8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2209-6680-433E-9406-DB6E8FEEABA8}">
  <dimension ref="A1:AP116"/>
  <sheetViews>
    <sheetView zoomScale="55" zoomScaleNormal="55" workbookViewId="0">
      <selection activeCell="C107" sqref="C107"/>
    </sheetView>
  </sheetViews>
  <sheetFormatPr defaultColWidth="8.85546875" defaultRowHeight="15" x14ac:dyDescent="0.25"/>
  <cols>
    <col min="1" max="1" width="59.85546875" bestFit="1" customWidth="1"/>
    <col min="2" max="2" width="18.28515625" style="3" bestFit="1" customWidth="1"/>
    <col min="3" max="3" width="17.7109375" style="3" bestFit="1" customWidth="1"/>
    <col min="4" max="11" width="16.140625" bestFit="1" customWidth="1"/>
    <col min="12" max="13" width="15.7109375" bestFit="1" customWidth="1"/>
    <col min="14" max="24" width="15.42578125" bestFit="1" customWidth="1"/>
    <col min="25" max="32" width="17" bestFit="1" customWidth="1"/>
    <col min="33" max="33" width="10.7109375" bestFit="1" customWidth="1"/>
    <col min="34" max="42" width="9.140625" bestFit="1" customWidth="1"/>
  </cols>
  <sheetData>
    <row r="1" spans="1:42" s="25" customFormat="1" ht="18.75" x14ac:dyDescent="0.3">
      <c r="B1" s="26"/>
      <c r="C1" s="26"/>
    </row>
    <row r="2" spans="1:42" s="25" customFormat="1" ht="18.75" x14ac:dyDescent="0.3">
      <c r="A2" s="24" t="s">
        <v>0</v>
      </c>
      <c r="B2" s="26"/>
      <c r="C2" s="26"/>
    </row>
    <row r="3" spans="1:42" x14ac:dyDescent="0.25">
      <c r="B3"/>
      <c r="C3"/>
    </row>
    <row r="4" spans="1:42" ht="21" x14ac:dyDescent="0.35">
      <c r="A4" s="43" t="s">
        <v>1</v>
      </c>
      <c r="B4" s="55">
        <f>NPV(B75,C88:AF88)+B88</f>
        <v>4388948.0088789463</v>
      </c>
      <c r="C4"/>
    </row>
    <row r="5" spans="1:42" ht="18.75" x14ac:dyDescent="0.3">
      <c r="A5" s="86" t="s">
        <v>83</v>
      </c>
      <c r="B5" s="87">
        <v>3</v>
      </c>
    </row>
    <row r="6" spans="1:42" x14ac:dyDescent="0.25">
      <c r="A6" s="88" t="s">
        <v>84</v>
      </c>
      <c r="B6" s="57"/>
    </row>
    <row r="7" spans="1:42" x14ac:dyDescent="0.25">
      <c r="A7" t="s">
        <v>2</v>
      </c>
      <c r="B7" s="28">
        <v>500000000</v>
      </c>
    </row>
    <row r="8" spans="1:42" x14ac:dyDescent="0.25">
      <c r="A8" t="s">
        <v>43</v>
      </c>
      <c r="B8" s="28">
        <v>7000000</v>
      </c>
    </row>
    <row r="9" spans="1:42" x14ac:dyDescent="0.25">
      <c r="B9" s="54"/>
    </row>
    <row r="10" spans="1:42" x14ac:dyDescent="0.25">
      <c r="A10" t="s">
        <v>44</v>
      </c>
      <c r="B10" s="29">
        <v>30</v>
      </c>
      <c r="C10" s="3" t="s">
        <v>45</v>
      </c>
    </row>
    <row r="11" spans="1:42" x14ac:dyDescent="0.25">
      <c r="A11" t="s">
        <v>52</v>
      </c>
      <c r="B11" s="28">
        <f>B7/30</f>
        <v>16666666.666666666</v>
      </c>
    </row>
    <row r="12" spans="1:42" x14ac:dyDescent="0.25">
      <c r="B12" s="54"/>
    </row>
    <row r="13" spans="1:42" x14ac:dyDescent="0.25">
      <c r="A13" t="s">
        <v>46</v>
      </c>
      <c r="B13" s="3">
        <v>130000000</v>
      </c>
      <c r="C13" s="3" t="s">
        <v>47</v>
      </c>
      <c r="F13" s="4"/>
    </row>
    <row r="14" spans="1:42" x14ac:dyDescent="0.25">
      <c r="A14" t="s">
        <v>48</v>
      </c>
      <c r="B14" s="30">
        <v>5.0000000000000001E-3</v>
      </c>
      <c r="C14"/>
      <c r="F14" s="4"/>
    </row>
    <row r="15" spans="1:42" x14ac:dyDescent="0.25">
      <c r="B15"/>
      <c r="C15" s="31">
        <v>2023</v>
      </c>
      <c r="D15" s="31">
        <v>2024</v>
      </c>
      <c r="E15" s="31">
        <v>2025</v>
      </c>
      <c r="F15" s="31">
        <v>2026</v>
      </c>
      <c r="G15" s="31">
        <v>2027</v>
      </c>
      <c r="H15" s="31">
        <v>2028</v>
      </c>
      <c r="I15" s="31">
        <v>2029</v>
      </c>
      <c r="J15" s="31">
        <v>2030</v>
      </c>
      <c r="K15" s="31">
        <v>2031</v>
      </c>
      <c r="L15" s="31">
        <v>2032</v>
      </c>
      <c r="M15" s="31">
        <v>2033</v>
      </c>
      <c r="N15" s="31">
        <v>2034</v>
      </c>
      <c r="O15" s="31">
        <v>2035</v>
      </c>
      <c r="P15" s="31">
        <v>2036</v>
      </c>
      <c r="Q15" s="31">
        <v>2037</v>
      </c>
      <c r="R15" s="31">
        <v>2038</v>
      </c>
      <c r="S15" s="31">
        <v>2039</v>
      </c>
      <c r="T15" s="31">
        <v>2040</v>
      </c>
      <c r="U15" s="31">
        <v>2041</v>
      </c>
      <c r="V15" s="31">
        <v>2042</v>
      </c>
      <c r="W15" s="31">
        <v>2043</v>
      </c>
      <c r="X15" s="31">
        <v>2044</v>
      </c>
      <c r="Y15" s="31">
        <v>2045</v>
      </c>
      <c r="Z15" s="31">
        <v>2046</v>
      </c>
      <c r="AA15" s="31">
        <v>2047</v>
      </c>
      <c r="AB15" s="31">
        <v>2048</v>
      </c>
      <c r="AC15" s="31">
        <v>2049</v>
      </c>
      <c r="AD15" s="31">
        <v>2050</v>
      </c>
      <c r="AE15" s="31">
        <v>2051</v>
      </c>
      <c r="AF15" s="31">
        <v>2052</v>
      </c>
      <c r="AG15" s="31"/>
      <c r="AH15" s="32"/>
      <c r="AI15" s="32"/>
      <c r="AJ15" s="32"/>
      <c r="AK15" s="32"/>
      <c r="AL15" s="32"/>
      <c r="AM15" s="32"/>
      <c r="AN15" s="32"/>
      <c r="AO15" s="32"/>
      <c r="AP15" s="32"/>
    </row>
    <row r="16" spans="1:42" x14ac:dyDescent="0.25">
      <c r="B16"/>
      <c r="C16" s="29">
        <f>B13</f>
        <v>130000000</v>
      </c>
      <c r="D16" s="3">
        <f>C16*(1-$B$14)</f>
        <v>129350000</v>
      </c>
      <c r="E16" s="3">
        <f t="shared" ref="E16:AF16" si="0">D16*(1-$B$14)</f>
        <v>128703250</v>
      </c>
      <c r="F16" s="3">
        <f t="shared" si="0"/>
        <v>128059733.75</v>
      </c>
      <c r="G16" s="3">
        <f t="shared" si="0"/>
        <v>127419435.08125</v>
      </c>
      <c r="H16" s="3">
        <f t="shared" si="0"/>
        <v>126782337.90584375</v>
      </c>
      <c r="I16" s="3">
        <f t="shared" si="0"/>
        <v>126148426.21631452</v>
      </c>
      <c r="J16" s="3">
        <f t="shared" si="0"/>
        <v>125517684.08523296</v>
      </c>
      <c r="K16" s="3">
        <f t="shared" si="0"/>
        <v>124890095.6648068</v>
      </c>
      <c r="L16" s="3">
        <f t="shared" si="0"/>
        <v>124265645.18648276</v>
      </c>
      <c r="M16" s="3">
        <f t="shared" si="0"/>
        <v>123644316.96055034</v>
      </c>
      <c r="N16" s="3">
        <f t="shared" si="0"/>
        <v>123026095.37574759</v>
      </c>
      <c r="O16" s="3">
        <f t="shared" si="0"/>
        <v>122410964.89886886</v>
      </c>
      <c r="P16" s="3">
        <f t="shared" si="0"/>
        <v>121798910.07437451</v>
      </c>
      <c r="Q16" s="3">
        <f t="shared" si="0"/>
        <v>121189915.52400264</v>
      </c>
      <c r="R16" s="3">
        <f t="shared" si="0"/>
        <v>120583965.94638263</v>
      </c>
      <c r="S16" s="3">
        <f t="shared" si="0"/>
        <v>119981046.11665072</v>
      </c>
      <c r="T16" s="3">
        <f t="shared" si="0"/>
        <v>119381140.88606746</v>
      </c>
      <c r="U16" s="3">
        <f t="shared" si="0"/>
        <v>118784235.18163712</v>
      </c>
      <c r="V16" s="3">
        <f t="shared" si="0"/>
        <v>118190314.00572893</v>
      </c>
      <c r="W16" s="3">
        <f t="shared" si="0"/>
        <v>117599362.43570028</v>
      </c>
      <c r="X16" s="3">
        <f t="shared" si="0"/>
        <v>117011365.62352178</v>
      </c>
      <c r="Y16" s="3">
        <f t="shared" si="0"/>
        <v>116426308.79540417</v>
      </c>
      <c r="Z16" s="3">
        <f t="shared" si="0"/>
        <v>115844177.25142714</v>
      </c>
      <c r="AA16" s="3">
        <f t="shared" si="0"/>
        <v>115264956.36517</v>
      </c>
      <c r="AB16" s="3">
        <f t="shared" si="0"/>
        <v>114688631.58334415</v>
      </c>
      <c r="AC16" s="3">
        <f t="shared" si="0"/>
        <v>114115188.42542742</v>
      </c>
      <c r="AD16" s="3">
        <f t="shared" si="0"/>
        <v>113544612.48330028</v>
      </c>
      <c r="AE16" s="3">
        <f t="shared" si="0"/>
        <v>112976889.42088377</v>
      </c>
      <c r="AF16" s="3">
        <f t="shared" si="0"/>
        <v>112412004.97377935</v>
      </c>
      <c r="AG16" s="3"/>
    </row>
    <row r="17" spans="1:33" x14ac:dyDescent="0.25">
      <c r="B17"/>
      <c r="C17" s="31">
        <v>2023</v>
      </c>
      <c r="D17" s="31">
        <v>2024</v>
      </c>
      <c r="E17" s="31">
        <v>2025</v>
      </c>
      <c r="F17" s="31">
        <v>2026</v>
      </c>
      <c r="G17" s="31">
        <v>2027</v>
      </c>
      <c r="H17" s="31">
        <v>2028</v>
      </c>
      <c r="I17" s="31">
        <v>2029</v>
      </c>
      <c r="J17" s="31">
        <v>2030</v>
      </c>
      <c r="K17" s="31">
        <v>2031</v>
      </c>
      <c r="L17" s="31">
        <v>2032</v>
      </c>
      <c r="M17" s="31">
        <v>2033</v>
      </c>
      <c r="N17" s="31">
        <v>2034</v>
      </c>
      <c r="O17" s="31">
        <v>2035</v>
      </c>
      <c r="P17" s="31">
        <v>2036</v>
      </c>
      <c r="Q17" s="31">
        <v>2037</v>
      </c>
      <c r="R17" s="31">
        <v>2038</v>
      </c>
      <c r="S17" s="31">
        <v>2039</v>
      </c>
      <c r="T17" s="31">
        <v>2040</v>
      </c>
      <c r="U17" s="31">
        <v>2041</v>
      </c>
      <c r="V17" s="31">
        <v>2042</v>
      </c>
      <c r="W17" s="31">
        <v>2043</v>
      </c>
      <c r="X17" s="31">
        <v>2044</v>
      </c>
      <c r="Y17" s="31">
        <v>2045</v>
      </c>
      <c r="Z17" s="31">
        <v>2046</v>
      </c>
      <c r="AA17" s="31">
        <v>2047</v>
      </c>
      <c r="AB17" s="31">
        <v>2048</v>
      </c>
      <c r="AC17" s="31">
        <v>2049</v>
      </c>
      <c r="AD17" s="31">
        <v>2050</v>
      </c>
      <c r="AE17" s="31">
        <v>2051</v>
      </c>
      <c r="AF17" s="31">
        <v>2052</v>
      </c>
      <c r="AG17" s="31"/>
    </row>
    <row r="18" spans="1:33" x14ac:dyDescent="0.25">
      <c r="A18" s="53" t="s">
        <v>58</v>
      </c>
      <c r="B18" s="30">
        <v>2.5000000000000001E-2</v>
      </c>
      <c r="C18" s="42">
        <v>0.39</v>
      </c>
      <c r="D18" s="42">
        <f>C18*(1+$B$18)</f>
        <v>0.39974999999999999</v>
      </c>
      <c r="E18" s="42">
        <f t="shared" ref="E18:I18" si="1">D18*(1+$B$18)</f>
        <v>0.40974374999999996</v>
      </c>
      <c r="F18" s="42">
        <f>E18*(1+$B$18)</f>
        <v>0.41998734374999991</v>
      </c>
      <c r="G18" s="42">
        <f t="shared" si="1"/>
        <v>0.43048702734374988</v>
      </c>
      <c r="H18" s="42">
        <f t="shared" si="1"/>
        <v>0.44124920302734361</v>
      </c>
      <c r="I18" s="42">
        <f t="shared" si="1"/>
        <v>0.45228043310302718</v>
      </c>
      <c r="J18" s="42">
        <f>I18*(1+$B$18)^3</f>
        <v>0.48705655827958955</v>
      </c>
      <c r="K18" s="42">
        <f t="shared" ref="K18:AF18" si="2">J18*(1+$B$18)^3</f>
        <v>0.52450664145605608</v>
      </c>
      <c r="L18" s="42">
        <f t="shared" si="2"/>
        <v>0.56483628493426308</v>
      </c>
      <c r="M18" s="42">
        <f t="shared" si="2"/>
        <v>0.60826689990553662</v>
      </c>
      <c r="N18" s="42">
        <f t="shared" si="2"/>
        <v>0.65503692200608565</v>
      </c>
      <c r="O18" s="42">
        <f t="shared" si="2"/>
        <v>0.70540312033720975</v>
      </c>
      <c r="P18" s="42">
        <f t="shared" si="2"/>
        <v>0.7596420071368879</v>
      </c>
      <c r="Q18" s="42">
        <f t="shared" si="2"/>
        <v>0.81805135584189759</v>
      </c>
      <c r="R18" s="42">
        <f t="shared" si="2"/>
        <v>0.8809518358746784</v>
      </c>
      <c r="S18" s="42">
        <f t="shared" si="2"/>
        <v>0.94868877312997979</v>
      </c>
      <c r="T18" s="42">
        <f t="shared" si="2"/>
        <v>1.021634045826427</v>
      </c>
      <c r="U18" s="42">
        <f t="shared" si="2"/>
        <v>1.1001881261312996</v>
      </c>
      <c r="V18" s="42">
        <f t="shared" si="2"/>
        <v>1.1847822787671138</v>
      </c>
      <c r="W18" s="42">
        <f t="shared" si="2"/>
        <v>1.2758809286704413</v>
      </c>
      <c r="X18" s="42">
        <f t="shared" si="2"/>
        <v>1.3739842107014919</v>
      </c>
      <c r="Y18" s="42">
        <f t="shared" si="2"/>
        <v>1.479630715402461</v>
      </c>
      <c r="Z18" s="42">
        <f t="shared" si="2"/>
        <v>1.5934004458789532</v>
      </c>
      <c r="AA18" s="42">
        <f t="shared" si="2"/>
        <v>1.7159180020378644</v>
      </c>
      <c r="AB18" s="42">
        <f t="shared" si="2"/>
        <v>1.8478560096633068</v>
      </c>
      <c r="AC18" s="42">
        <f t="shared" si="2"/>
        <v>1.9899388131563243</v>
      </c>
      <c r="AD18" s="42">
        <f t="shared" si="2"/>
        <v>2.1429464522116719</v>
      </c>
      <c r="AE18" s="42">
        <f t="shared" si="2"/>
        <v>2.3077189442637596</v>
      </c>
      <c r="AF18" s="42">
        <f t="shared" si="2"/>
        <v>2.4851608962125398</v>
      </c>
      <c r="AG18" s="42"/>
    </row>
    <row r="19" spans="1:33" x14ac:dyDescent="0.25">
      <c r="A19" s="53"/>
      <c r="B19" s="9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</row>
    <row r="20" spans="1:33" x14ac:dyDescent="0.25">
      <c r="A20" s="34"/>
      <c r="B20" s="33"/>
      <c r="C20" s="33"/>
      <c r="D20" s="33"/>
      <c r="E20" s="33"/>
    </row>
    <row r="21" spans="1:33" x14ac:dyDescent="0.25">
      <c r="A21" s="19" t="s">
        <v>49</v>
      </c>
      <c r="B21" s="44">
        <f>'Discount rate &amp; power price'!C19</f>
        <v>7.2444800000000004E-2</v>
      </c>
      <c r="C21" s="35"/>
      <c r="D21" s="36"/>
      <c r="E21" s="37"/>
      <c r="H21" s="19"/>
    </row>
    <row r="22" spans="1:33" x14ac:dyDescent="0.25">
      <c r="A22" s="19" t="s">
        <v>18</v>
      </c>
      <c r="B22" s="45">
        <v>0.22</v>
      </c>
      <c r="C22" s="35"/>
      <c r="D22" s="36"/>
      <c r="E22" s="37"/>
      <c r="H22" s="19"/>
    </row>
    <row r="23" spans="1:33" x14ac:dyDescent="0.25">
      <c r="A23" s="19"/>
      <c r="B23" s="19"/>
      <c r="C23" s="35"/>
      <c r="D23" s="36"/>
      <c r="E23" s="37"/>
      <c r="H23" s="19"/>
    </row>
    <row r="24" spans="1:33" x14ac:dyDescent="0.25">
      <c r="A24" s="88" t="s">
        <v>85</v>
      </c>
      <c r="B24" s="57"/>
    </row>
    <row r="25" spans="1:33" x14ac:dyDescent="0.25">
      <c r="A25" t="s">
        <v>2</v>
      </c>
      <c r="B25" s="28">
        <v>500000000</v>
      </c>
    </row>
    <row r="26" spans="1:33" x14ac:dyDescent="0.25">
      <c r="A26" t="s">
        <v>43</v>
      </c>
      <c r="B26" s="28">
        <v>7000000</v>
      </c>
    </row>
    <row r="27" spans="1:33" x14ac:dyDescent="0.25">
      <c r="B27" s="54"/>
    </row>
    <row r="28" spans="1:33" x14ac:dyDescent="0.25">
      <c r="A28" t="s">
        <v>44</v>
      </c>
      <c r="B28" s="29">
        <v>30</v>
      </c>
      <c r="C28" s="3" t="s">
        <v>45</v>
      </c>
    </row>
    <row r="29" spans="1:33" x14ac:dyDescent="0.25">
      <c r="A29" t="s">
        <v>52</v>
      </c>
      <c r="B29" s="28">
        <f>B25/30</f>
        <v>16666666.666666666</v>
      </c>
    </row>
    <row r="30" spans="1:33" x14ac:dyDescent="0.25">
      <c r="B30" s="54"/>
    </row>
    <row r="31" spans="1:33" x14ac:dyDescent="0.25">
      <c r="A31" t="s">
        <v>46</v>
      </c>
      <c r="B31" s="3">
        <f>130000000*1.15</f>
        <v>149500000</v>
      </c>
      <c r="C31" s="3" t="s">
        <v>47</v>
      </c>
      <c r="F31" s="4"/>
    </row>
    <row r="32" spans="1:33" x14ac:dyDescent="0.25">
      <c r="A32" t="s">
        <v>48</v>
      </c>
      <c r="B32" s="30">
        <v>5.0000000000000001E-3</v>
      </c>
      <c r="C32"/>
      <c r="F32" s="4"/>
    </row>
    <row r="33" spans="1:42" x14ac:dyDescent="0.25">
      <c r="B33"/>
      <c r="C33" s="31">
        <v>2023</v>
      </c>
      <c r="D33" s="31">
        <v>2024</v>
      </c>
      <c r="E33" s="31">
        <v>2025</v>
      </c>
      <c r="F33" s="31">
        <v>2026</v>
      </c>
      <c r="G33" s="31">
        <v>2027</v>
      </c>
      <c r="H33" s="31">
        <v>2028</v>
      </c>
      <c r="I33" s="31">
        <v>2029</v>
      </c>
      <c r="J33" s="31">
        <v>2030</v>
      </c>
      <c r="K33" s="31">
        <v>2031</v>
      </c>
      <c r="L33" s="31">
        <v>2032</v>
      </c>
      <c r="M33" s="31">
        <v>2033</v>
      </c>
      <c r="N33" s="31">
        <v>2034</v>
      </c>
      <c r="O33" s="31">
        <v>2035</v>
      </c>
      <c r="P33" s="31">
        <v>2036</v>
      </c>
      <c r="Q33" s="31">
        <v>2037</v>
      </c>
      <c r="R33" s="31">
        <v>2038</v>
      </c>
      <c r="S33" s="31">
        <v>2039</v>
      </c>
      <c r="T33" s="31">
        <v>2040</v>
      </c>
      <c r="U33" s="31">
        <v>2041</v>
      </c>
      <c r="V33" s="31">
        <v>2042</v>
      </c>
      <c r="W33" s="31">
        <v>2043</v>
      </c>
      <c r="X33" s="31">
        <v>2044</v>
      </c>
      <c r="Y33" s="31">
        <v>2045</v>
      </c>
      <c r="Z33" s="31">
        <v>2046</v>
      </c>
      <c r="AA33" s="31">
        <v>2047</v>
      </c>
      <c r="AB33" s="31">
        <v>2048</v>
      </c>
      <c r="AC33" s="31">
        <v>2049</v>
      </c>
      <c r="AD33" s="31">
        <v>2050</v>
      </c>
      <c r="AE33" s="31">
        <v>2051</v>
      </c>
      <c r="AF33" s="31">
        <v>2052</v>
      </c>
      <c r="AG33" s="31"/>
      <c r="AH33" s="32"/>
      <c r="AI33" s="32"/>
      <c r="AJ33" s="32"/>
      <c r="AK33" s="32"/>
      <c r="AL33" s="32"/>
      <c r="AM33" s="32"/>
      <c r="AN33" s="32"/>
      <c r="AO33" s="32"/>
      <c r="AP33" s="32"/>
    </row>
    <row r="34" spans="1:42" x14ac:dyDescent="0.25">
      <c r="B34"/>
      <c r="C34" s="29">
        <f>B31</f>
        <v>149500000</v>
      </c>
      <c r="D34" s="3">
        <f>C34*(1-$B$14)</f>
        <v>148752500</v>
      </c>
      <c r="E34" s="3">
        <f t="shared" ref="E34:AF34" si="3">D34*(1-$B$14)</f>
        <v>148008737.5</v>
      </c>
      <c r="F34" s="3">
        <f t="shared" si="3"/>
        <v>147268693.8125</v>
      </c>
      <c r="G34" s="3">
        <f t="shared" si="3"/>
        <v>146532350.34343749</v>
      </c>
      <c r="H34" s="3">
        <f t="shared" si="3"/>
        <v>145799688.59172031</v>
      </c>
      <c r="I34" s="3">
        <f t="shared" si="3"/>
        <v>145070690.14876172</v>
      </c>
      <c r="J34" s="3">
        <f t="shared" si="3"/>
        <v>144345336.69801793</v>
      </c>
      <c r="K34" s="3">
        <f t="shared" si="3"/>
        <v>143623610.01452783</v>
      </c>
      <c r="L34" s="3">
        <f t="shared" si="3"/>
        <v>142905491.96445519</v>
      </c>
      <c r="M34" s="3">
        <f t="shared" si="3"/>
        <v>142190964.50463292</v>
      </c>
      <c r="N34" s="3">
        <f t="shared" si="3"/>
        <v>141480009.68210974</v>
      </c>
      <c r="O34" s="3">
        <f t="shared" si="3"/>
        <v>140772609.63369921</v>
      </c>
      <c r="P34" s="3">
        <f t="shared" si="3"/>
        <v>140068746.5855307</v>
      </c>
      <c r="Q34" s="3">
        <f t="shared" si="3"/>
        <v>139368402.85260305</v>
      </c>
      <c r="R34" s="3">
        <f t="shared" si="3"/>
        <v>138671560.83834004</v>
      </c>
      <c r="S34" s="3">
        <f t="shared" si="3"/>
        <v>137978203.03414834</v>
      </c>
      <c r="T34" s="3">
        <f t="shared" si="3"/>
        <v>137288312.01897758</v>
      </c>
      <c r="U34" s="3">
        <f t="shared" si="3"/>
        <v>136601870.45888269</v>
      </c>
      <c r="V34" s="3">
        <f t="shared" si="3"/>
        <v>135918861.10658827</v>
      </c>
      <c r="W34" s="3">
        <f t="shared" si="3"/>
        <v>135239266.80105534</v>
      </c>
      <c r="X34" s="3">
        <f t="shared" si="3"/>
        <v>134563070.46705008</v>
      </c>
      <c r="Y34" s="3">
        <f t="shared" si="3"/>
        <v>133890255.11471483</v>
      </c>
      <c r="Z34" s="3">
        <f t="shared" si="3"/>
        <v>133220803.83914125</v>
      </c>
      <c r="AA34" s="3">
        <f t="shared" si="3"/>
        <v>132554699.81994554</v>
      </c>
      <c r="AB34" s="3">
        <f t="shared" si="3"/>
        <v>131891926.32084581</v>
      </c>
      <c r="AC34" s="3">
        <f t="shared" si="3"/>
        <v>131232466.68924159</v>
      </c>
      <c r="AD34" s="3">
        <f t="shared" si="3"/>
        <v>130576304.35579538</v>
      </c>
      <c r="AE34" s="3">
        <f t="shared" si="3"/>
        <v>129923422.83401641</v>
      </c>
      <c r="AF34" s="3">
        <f t="shared" si="3"/>
        <v>129273805.71984632</v>
      </c>
      <c r="AG34" s="3"/>
    </row>
    <row r="35" spans="1:42" x14ac:dyDescent="0.25">
      <c r="B35"/>
      <c r="C35" s="31">
        <v>2023</v>
      </c>
      <c r="D35" s="31">
        <v>2024</v>
      </c>
      <c r="E35" s="31">
        <v>2025</v>
      </c>
      <c r="F35" s="31">
        <v>2026</v>
      </c>
      <c r="G35" s="31">
        <v>2027</v>
      </c>
      <c r="H35" s="31">
        <v>2028</v>
      </c>
      <c r="I35" s="31">
        <v>2029</v>
      </c>
      <c r="J35" s="31">
        <v>2030</v>
      </c>
      <c r="K35" s="31">
        <v>2031</v>
      </c>
      <c r="L35" s="31">
        <v>2032</v>
      </c>
      <c r="M35" s="31">
        <v>2033</v>
      </c>
      <c r="N35" s="31">
        <v>2034</v>
      </c>
      <c r="O35" s="31">
        <v>2035</v>
      </c>
      <c r="P35" s="31">
        <v>2036</v>
      </c>
      <c r="Q35" s="31">
        <v>2037</v>
      </c>
      <c r="R35" s="31">
        <v>2038</v>
      </c>
      <c r="S35" s="31">
        <v>2039</v>
      </c>
      <c r="T35" s="31">
        <v>2040</v>
      </c>
      <c r="U35" s="31">
        <v>2041</v>
      </c>
      <c r="V35" s="31">
        <v>2042</v>
      </c>
      <c r="W35" s="31">
        <v>2043</v>
      </c>
      <c r="X35" s="31">
        <v>2044</v>
      </c>
      <c r="Y35" s="31">
        <v>2045</v>
      </c>
      <c r="Z35" s="31">
        <v>2046</v>
      </c>
      <c r="AA35" s="31">
        <v>2047</v>
      </c>
      <c r="AB35" s="31">
        <v>2048</v>
      </c>
      <c r="AC35" s="31">
        <v>2049</v>
      </c>
      <c r="AD35" s="31">
        <v>2050</v>
      </c>
      <c r="AE35" s="31">
        <v>2051</v>
      </c>
      <c r="AF35" s="31">
        <v>2052</v>
      </c>
      <c r="AG35" s="31"/>
    </row>
    <row r="36" spans="1:42" x14ac:dyDescent="0.25">
      <c r="A36" s="53" t="s">
        <v>87</v>
      </c>
      <c r="B36" s="30">
        <v>2.5000000000000001E-2</v>
      </c>
      <c r="C36" s="42">
        <v>0.39</v>
      </c>
      <c r="D36" s="42">
        <f>C36*(1+$B$36)</f>
        <v>0.39974999999999999</v>
      </c>
      <c r="E36" s="42">
        <f t="shared" ref="E36:I36" si="4">D36*(1+$B$36)</f>
        <v>0.40974374999999996</v>
      </c>
      <c r="F36" s="42">
        <f t="shared" si="4"/>
        <v>0.41998734374999991</v>
      </c>
      <c r="G36" s="42">
        <f t="shared" si="4"/>
        <v>0.43048702734374988</v>
      </c>
      <c r="H36" s="42">
        <f t="shared" si="4"/>
        <v>0.44124920302734361</v>
      </c>
      <c r="I36" s="42">
        <f t="shared" si="4"/>
        <v>0.45228043310302718</v>
      </c>
      <c r="J36" s="42">
        <f>I36*(1+$B$36)^4</f>
        <v>0.49923297223657925</v>
      </c>
      <c r="K36" s="42">
        <f t="shared" ref="K36:AF36" si="5">J36*(1+$B$36)^4</f>
        <v>0.5510597901797688</v>
      </c>
      <c r="L36" s="42">
        <f t="shared" si="5"/>
        <v>0.60826689990553651</v>
      </c>
      <c r="M36" s="42">
        <f t="shared" si="5"/>
        <v>0.67141284505623766</v>
      </c>
      <c r="N36" s="42">
        <f t="shared" si="5"/>
        <v>0.74111415330428076</v>
      </c>
      <c r="O36" s="42">
        <f t="shared" si="5"/>
        <v>0.81805135584189737</v>
      </c>
      <c r="P36" s="42">
        <f t="shared" si="5"/>
        <v>0.90297563177154505</v>
      </c>
      <c r="Q36" s="42">
        <f t="shared" si="5"/>
        <v>0.99671614226968452</v>
      </c>
      <c r="R36" s="42">
        <f t="shared" si="5"/>
        <v>1.1001881261312989</v>
      </c>
      <c r="S36" s="42">
        <f t="shared" si="5"/>
        <v>1.2144018357362909</v>
      </c>
      <c r="T36" s="42">
        <f t="shared" si="5"/>
        <v>1.3404724006843813</v>
      </c>
      <c r="U36" s="42">
        <f t="shared" si="5"/>
        <v>1.4796307154024599</v>
      </c>
      <c r="V36" s="42">
        <f t="shared" si="5"/>
        <v>1.6332354570259258</v>
      </c>
      <c r="W36" s="42">
        <f t="shared" si="5"/>
        <v>1.8027863508910298</v>
      </c>
      <c r="X36" s="42">
        <f t="shared" si="5"/>
        <v>1.9899388131563227</v>
      </c>
      <c r="Y36" s="42">
        <f t="shared" si="5"/>
        <v>2.1965201135169621</v>
      </c>
      <c r="Z36" s="42">
        <f t="shared" si="5"/>
        <v>2.4245472158171104</v>
      </c>
      <c r="AA36" s="42">
        <f t="shared" si="5"/>
        <v>2.6762464707478797</v>
      </c>
      <c r="AB36" s="42">
        <f t="shared" si="5"/>
        <v>2.954075352901171</v>
      </c>
      <c r="AC36" s="42">
        <f t="shared" si="5"/>
        <v>3.2607464544099076</v>
      </c>
      <c r="AD36" s="42">
        <f t="shared" si="5"/>
        <v>3.5992539694374193</v>
      </c>
      <c r="AE36" s="42">
        <f t="shared" si="5"/>
        <v>3.9729029280982222</v>
      </c>
      <c r="AF36" s="42">
        <f t="shared" si="5"/>
        <v>4.3853414652366238</v>
      </c>
      <c r="AG36" s="42"/>
    </row>
    <row r="37" spans="1:42" x14ac:dyDescent="0.25">
      <c r="A37" s="53"/>
      <c r="B37" s="9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</row>
    <row r="38" spans="1:42" x14ac:dyDescent="0.25">
      <c r="A38" s="34"/>
      <c r="B38" s="33"/>
      <c r="C38" s="33"/>
      <c r="D38" s="33"/>
      <c r="E38" s="33"/>
    </row>
    <row r="39" spans="1:42" x14ac:dyDescent="0.25">
      <c r="A39" s="19" t="s">
        <v>49</v>
      </c>
      <c r="B39" s="44">
        <v>7.2400000000000006E-2</v>
      </c>
      <c r="C39" s="35"/>
      <c r="D39" s="36"/>
      <c r="E39" s="37"/>
      <c r="H39" s="19"/>
    </row>
    <row r="40" spans="1:42" x14ac:dyDescent="0.25">
      <c r="A40" s="19" t="s">
        <v>18</v>
      </c>
      <c r="B40" s="45">
        <v>0.22</v>
      </c>
      <c r="C40" s="35"/>
      <c r="D40" s="36"/>
      <c r="E40" s="37"/>
      <c r="H40" s="19"/>
    </row>
    <row r="41" spans="1:42" x14ac:dyDescent="0.25">
      <c r="A41" s="19"/>
      <c r="B41" s="19"/>
      <c r="C41" s="35"/>
      <c r="D41" s="36"/>
      <c r="E41" s="37"/>
      <c r="H41" s="19"/>
    </row>
    <row r="42" spans="1:42" x14ac:dyDescent="0.25">
      <c r="A42" s="88" t="s">
        <v>86</v>
      </c>
      <c r="B42" s="57"/>
    </row>
    <row r="43" spans="1:42" x14ac:dyDescent="0.25">
      <c r="A43" t="s">
        <v>2</v>
      </c>
      <c r="B43" s="28">
        <v>500000000</v>
      </c>
    </row>
    <row r="44" spans="1:42" x14ac:dyDescent="0.25">
      <c r="A44" t="s">
        <v>43</v>
      </c>
      <c r="B44" s="28">
        <f>7000000*1.1</f>
        <v>7700000.0000000009</v>
      </c>
    </row>
    <row r="45" spans="1:42" x14ac:dyDescent="0.25">
      <c r="B45" s="54"/>
    </row>
    <row r="46" spans="1:42" x14ac:dyDescent="0.25">
      <c r="A46" t="s">
        <v>44</v>
      </c>
      <c r="B46" s="29">
        <v>30</v>
      </c>
      <c r="C46" s="3" t="s">
        <v>45</v>
      </c>
    </row>
    <row r="47" spans="1:42" x14ac:dyDescent="0.25">
      <c r="A47" t="s">
        <v>52</v>
      </c>
      <c r="B47" s="28">
        <f>B43/30</f>
        <v>16666666.666666666</v>
      </c>
    </row>
    <row r="48" spans="1:42" x14ac:dyDescent="0.25">
      <c r="B48" s="54"/>
    </row>
    <row r="49" spans="1:42" x14ac:dyDescent="0.25">
      <c r="A49" t="s">
        <v>46</v>
      </c>
      <c r="B49" s="3">
        <f>130000000/1.1</f>
        <v>118181818.18181817</v>
      </c>
      <c r="C49" s="3" t="s">
        <v>47</v>
      </c>
      <c r="F49" s="4"/>
    </row>
    <row r="50" spans="1:42" x14ac:dyDescent="0.25">
      <c r="A50" t="s">
        <v>48</v>
      </c>
      <c r="B50" s="30">
        <v>5.0000000000000001E-3</v>
      </c>
      <c r="C50"/>
      <c r="F50" s="4"/>
    </row>
    <row r="51" spans="1:42" x14ac:dyDescent="0.25">
      <c r="B51"/>
      <c r="C51" s="31">
        <v>2023</v>
      </c>
      <c r="D51" s="31">
        <v>2024</v>
      </c>
      <c r="E51" s="31">
        <v>2025</v>
      </c>
      <c r="F51" s="31">
        <v>2026</v>
      </c>
      <c r="G51" s="31">
        <v>2027</v>
      </c>
      <c r="H51" s="31">
        <v>2028</v>
      </c>
      <c r="I51" s="31">
        <v>2029</v>
      </c>
      <c r="J51" s="31">
        <v>2030</v>
      </c>
      <c r="K51" s="31">
        <v>2031</v>
      </c>
      <c r="L51" s="31">
        <v>2032</v>
      </c>
      <c r="M51" s="31">
        <v>2033</v>
      </c>
      <c r="N51" s="31">
        <v>2034</v>
      </c>
      <c r="O51" s="31">
        <v>2035</v>
      </c>
      <c r="P51" s="31">
        <v>2036</v>
      </c>
      <c r="Q51" s="31">
        <v>2037</v>
      </c>
      <c r="R51" s="31">
        <v>2038</v>
      </c>
      <c r="S51" s="31">
        <v>2039</v>
      </c>
      <c r="T51" s="31">
        <v>2040</v>
      </c>
      <c r="U51" s="31">
        <v>2041</v>
      </c>
      <c r="V51" s="31">
        <v>2042</v>
      </c>
      <c r="W51" s="31">
        <v>2043</v>
      </c>
      <c r="X51" s="31">
        <v>2044</v>
      </c>
      <c r="Y51" s="31">
        <v>2045</v>
      </c>
      <c r="Z51" s="31">
        <v>2046</v>
      </c>
      <c r="AA51" s="31">
        <v>2047</v>
      </c>
      <c r="AB51" s="31">
        <v>2048</v>
      </c>
      <c r="AC51" s="31">
        <v>2049</v>
      </c>
      <c r="AD51" s="31">
        <v>2050</v>
      </c>
      <c r="AE51" s="31">
        <v>2051</v>
      </c>
      <c r="AF51" s="31">
        <v>2052</v>
      </c>
      <c r="AG51" s="31"/>
      <c r="AH51" s="32"/>
      <c r="AI51" s="32"/>
      <c r="AJ51" s="32"/>
      <c r="AK51" s="32"/>
      <c r="AL51" s="32"/>
      <c r="AM51" s="32"/>
      <c r="AN51" s="32"/>
      <c r="AO51" s="32"/>
      <c r="AP51" s="32"/>
    </row>
    <row r="52" spans="1:42" x14ac:dyDescent="0.25">
      <c r="B52"/>
      <c r="C52" s="29">
        <f>B49</f>
        <v>118181818.18181817</v>
      </c>
      <c r="D52" s="3">
        <f>C52*(1-$B$14)</f>
        <v>117590909.09090908</v>
      </c>
      <c r="E52" s="3">
        <f t="shared" ref="E52:AF52" si="6">D52*(1-$B$14)</f>
        <v>117002954.54545453</v>
      </c>
      <c r="F52" s="3">
        <f t="shared" si="6"/>
        <v>116417939.77272727</v>
      </c>
      <c r="G52" s="3">
        <f t="shared" si="6"/>
        <v>115835850.07386363</v>
      </c>
      <c r="H52" s="3">
        <f t="shared" si="6"/>
        <v>115256670.8234943</v>
      </c>
      <c r="I52" s="3">
        <f t="shared" si="6"/>
        <v>114680387.46937683</v>
      </c>
      <c r="J52" s="3">
        <f t="shared" si="6"/>
        <v>114106985.53202994</v>
      </c>
      <c r="K52" s="3">
        <f t="shared" si="6"/>
        <v>113536450.60436979</v>
      </c>
      <c r="L52" s="3">
        <f t="shared" si="6"/>
        <v>112968768.35134794</v>
      </c>
      <c r="M52" s="3">
        <f t="shared" si="6"/>
        <v>112403924.50959119</v>
      </c>
      <c r="N52" s="3">
        <f t="shared" si="6"/>
        <v>111841904.88704324</v>
      </c>
      <c r="O52" s="3">
        <f t="shared" si="6"/>
        <v>111282695.36260802</v>
      </c>
      <c r="P52" s="3">
        <f t="shared" si="6"/>
        <v>110726281.88579498</v>
      </c>
      <c r="Q52" s="3">
        <f t="shared" si="6"/>
        <v>110172650.47636601</v>
      </c>
      <c r="R52" s="3">
        <f t="shared" si="6"/>
        <v>109621787.22398418</v>
      </c>
      <c r="S52" s="3">
        <f t="shared" si="6"/>
        <v>109073678.28786427</v>
      </c>
      <c r="T52" s="3">
        <f t="shared" si="6"/>
        <v>108528309.89642495</v>
      </c>
      <c r="U52" s="3">
        <f t="shared" si="6"/>
        <v>107985668.34694283</v>
      </c>
      <c r="V52" s="3">
        <f t="shared" si="6"/>
        <v>107445740.00520812</v>
      </c>
      <c r="W52" s="3">
        <f t="shared" si="6"/>
        <v>106908511.30518208</v>
      </c>
      <c r="X52" s="3">
        <f t="shared" si="6"/>
        <v>106373968.74865617</v>
      </c>
      <c r="Y52" s="3">
        <f t="shared" si="6"/>
        <v>105842098.90491289</v>
      </c>
      <c r="Z52" s="3">
        <f t="shared" si="6"/>
        <v>105312888.41038832</v>
      </c>
      <c r="AA52" s="3">
        <f t="shared" si="6"/>
        <v>104786323.96833637</v>
      </c>
      <c r="AB52" s="3">
        <f t="shared" si="6"/>
        <v>104262392.34849469</v>
      </c>
      <c r="AC52" s="3">
        <f t="shared" si="6"/>
        <v>103741080.38675222</v>
      </c>
      <c r="AD52" s="3">
        <f t="shared" si="6"/>
        <v>103222374.98481846</v>
      </c>
      <c r="AE52" s="3">
        <f t="shared" si="6"/>
        <v>102706263.10989437</v>
      </c>
      <c r="AF52" s="3">
        <f t="shared" si="6"/>
        <v>102192731.79434489</v>
      </c>
      <c r="AG52" s="3"/>
    </row>
    <row r="53" spans="1:42" x14ac:dyDescent="0.25">
      <c r="B53"/>
      <c r="C53" s="31">
        <v>2023</v>
      </c>
      <c r="D53" s="31">
        <v>2024</v>
      </c>
      <c r="E53" s="31">
        <v>2025</v>
      </c>
      <c r="F53" s="31">
        <v>2026</v>
      </c>
      <c r="G53" s="31">
        <v>2027</v>
      </c>
      <c r="H53" s="31">
        <v>2028</v>
      </c>
      <c r="I53" s="31">
        <v>2029</v>
      </c>
      <c r="J53" s="31">
        <v>2030</v>
      </c>
      <c r="K53" s="31">
        <v>2031</v>
      </c>
      <c r="L53" s="31">
        <v>2032</v>
      </c>
      <c r="M53" s="31">
        <v>2033</v>
      </c>
      <c r="N53" s="31">
        <v>2034</v>
      </c>
      <c r="O53" s="31">
        <v>2035</v>
      </c>
      <c r="P53" s="31">
        <v>2036</v>
      </c>
      <c r="Q53" s="31">
        <v>2037</v>
      </c>
      <c r="R53" s="31">
        <v>2038</v>
      </c>
      <c r="S53" s="31">
        <v>2039</v>
      </c>
      <c r="T53" s="31">
        <v>2040</v>
      </c>
      <c r="U53" s="31">
        <v>2041</v>
      </c>
      <c r="V53" s="31">
        <v>2042</v>
      </c>
      <c r="W53" s="31">
        <v>2043</v>
      </c>
      <c r="X53" s="31">
        <v>2044</v>
      </c>
      <c r="Y53" s="31">
        <v>2045</v>
      </c>
      <c r="Z53" s="31">
        <v>2046</v>
      </c>
      <c r="AA53" s="31">
        <v>2047</v>
      </c>
      <c r="AB53" s="31">
        <v>2048</v>
      </c>
      <c r="AC53" s="31">
        <v>2049</v>
      </c>
      <c r="AD53" s="31">
        <v>2050</v>
      </c>
      <c r="AE53" s="31">
        <v>2051</v>
      </c>
      <c r="AF53" s="31">
        <v>2052</v>
      </c>
      <c r="AG53" s="31"/>
    </row>
    <row r="54" spans="1:42" x14ac:dyDescent="0.25">
      <c r="A54" s="53" t="s">
        <v>57</v>
      </c>
      <c r="B54" s="30">
        <v>2.5000000000000001E-2</v>
      </c>
      <c r="C54" s="42">
        <v>0.39</v>
      </c>
      <c r="D54" s="42">
        <f>C54*(1+$B$54)</f>
        <v>0.39974999999999999</v>
      </c>
      <c r="E54" s="42">
        <f t="shared" ref="E54:AE54" si="7">D54*(1+$B$54)</f>
        <v>0.40974374999999996</v>
      </c>
      <c r="F54" s="42">
        <f t="shared" si="7"/>
        <v>0.41998734374999991</v>
      </c>
      <c r="G54" s="42">
        <f t="shared" si="7"/>
        <v>0.43048702734374988</v>
      </c>
      <c r="H54" s="42">
        <f t="shared" si="7"/>
        <v>0.44124920302734361</v>
      </c>
      <c r="I54" s="42">
        <f t="shared" si="7"/>
        <v>0.45228043310302718</v>
      </c>
      <c r="J54" s="42">
        <f t="shared" si="7"/>
        <v>0.4635874439306028</v>
      </c>
      <c r="K54" s="42">
        <f t="shared" si="7"/>
        <v>0.47517713002886786</v>
      </c>
      <c r="L54" s="42">
        <f t="shared" si="7"/>
        <v>0.48705655827958949</v>
      </c>
      <c r="M54" s="42">
        <f t="shared" si="7"/>
        <v>0.4992329722365792</v>
      </c>
      <c r="N54" s="42">
        <f t="shared" si="7"/>
        <v>0.5117137965424936</v>
      </c>
      <c r="O54" s="42">
        <f t="shared" si="7"/>
        <v>0.52450664145605586</v>
      </c>
      <c r="P54" s="42">
        <f t="shared" si="7"/>
        <v>0.53761930749245723</v>
      </c>
      <c r="Q54" s="42">
        <f t="shared" si="7"/>
        <v>0.55105979017976858</v>
      </c>
      <c r="R54" s="42">
        <f t="shared" si="7"/>
        <v>0.56483628493426274</v>
      </c>
      <c r="S54" s="42">
        <f t="shared" si="7"/>
        <v>0.57895719205761931</v>
      </c>
      <c r="T54" s="42">
        <f t="shared" si="7"/>
        <v>0.59343112185905977</v>
      </c>
      <c r="U54" s="42">
        <f t="shared" si="7"/>
        <v>0.60826689990553617</v>
      </c>
      <c r="V54" s="42">
        <f t="shared" si="7"/>
        <v>0.62347357240317447</v>
      </c>
      <c r="W54" s="42">
        <f t="shared" si="7"/>
        <v>0.63906041171325378</v>
      </c>
      <c r="X54" s="42">
        <f t="shared" si="7"/>
        <v>0.6550369220060851</v>
      </c>
      <c r="Y54" s="42">
        <f t="shared" si="7"/>
        <v>0.67141284505623722</v>
      </c>
      <c r="Z54" s="42">
        <f t="shared" si="7"/>
        <v>0.68819816618264307</v>
      </c>
      <c r="AA54" s="42">
        <f t="shared" si="7"/>
        <v>0.70540312033720909</v>
      </c>
      <c r="AB54" s="42">
        <f t="shared" si="7"/>
        <v>0.7230381983456392</v>
      </c>
      <c r="AC54" s="42">
        <f t="shared" si="7"/>
        <v>0.7411141533042801</v>
      </c>
      <c r="AD54" s="42">
        <f t="shared" si="7"/>
        <v>0.75964200713688701</v>
      </c>
      <c r="AE54" s="42">
        <f t="shared" si="7"/>
        <v>0.77863305731530907</v>
      </c>
      <c r="AF54" s="42">
        <f>AE54*(1+$B$54)</f>
        <v>0.79809888374819171</v>
      </c>
      <c r="AG54" s="42"/>
    </row>
    <row r="55" spans="1:42" x14ac:dyDescent="0.25">
      <c r="A55" s="53"/>
      <c r="B55" s="9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</row>
    <row r="56" spans="1:42" x14ac:dyDescent="0.25">
      <c r="A56" s="34"/>
      <c r="B56" s="33"/>
      <c r="C56" s="33"/>
      <c r="D56" s="33"/>
      <c r="E56" s="33"/>
    </row>
    <row r="57" spans="1:42" x14ac:dyDescent="0.25">
      <c r="A57" s="19" t="s">
        <v>49</v>
      </c>
      <c r="B57" s="44">
        <v>7.2400000000000006E-2</v>
      </c>
      <c r="C57" s="35"/>
      <c r="D57" s="36"/>
      <c r="E57" s="37"/>
      <c r="H57" s="19"/>
    </row>
    <row r="58" spans="1:42" x14ac:dyDescent="0.25">
      <c r="A58" s="19" t="s">
        <v>18</v>
      </c>
      <c r="B58" s="45">
        <v>0.22</v>
      </c>
      <c r="C58" s="35"/>
      <c r="D58" s="36"/>
      <c r="E58" s="37"/>
      <c r="H58" s="19"/>
    </row>
    <row r="59" spans="1:42" x14ac:dyDescent="0.25">
      <c r="A59" s="19"/>
      <c r="B59" s="19"/>
      <c r="C59" s="35"/>
      <c r="D59" s="36"/>
      <c r="E59" s="37"/>
      <c r="H59" s="19"/>
    </row>
    <row r="60" spans="1:42" x14ac:dyDescent="0.25">
      <c r="A60" s="88" t="s">
        <v>83</v>
      </c>
      <c r="B60" s="57"/>
    </row>
    <row r="61" spans="1:42" x14ac:dyDescent="0.25">
      <c r="A61" t="str">
        <f>CHOOSE($B$5,A7,A25,A43)</f>
        <v>Initial investment</v>
      </c>
      <c r="B61" s="28">
        <f>CHOOSE($B$5,B7,B25,B43)</f>
        <v>500000000</v>
      </c>
    </row>
    <row r="62" spans="1:42" x14ac:dyDescent="0.25">
      <c r="A62" t="str">
        <f t="shared" ref="A62:A76" si="8">CHOOSE($B$5,A8,A26,A44)</f>
        <v>Overhead cost annually</v>
      </c>
      <c r="B62" s="28">
        <f t="shared" ref="B62:B76" si="9">CHOOSE($B$5,B8,B26,B44)</f>
        <v>7700000.0000000009</v>
      </c>
    </row>
    <row r="63" spans="1:42" x14ac:dyDescent="0.25">
      <c r="B63" s="28"/>
    </row>
    <row r="64" spans="1:42" x14ac:dyDescent="0.25">
      <c r="A64" t="str">
        <f t="shared" si="8"/>
        <v>Project life time</v>
      </c>
      <c r="B64" s="29">
        <f t="shared" si="9"/>
        <v>30</v>
      </c>
      <c r="C64" s="3" t="s">
        <v>45</v>
      </c>
    </row>
    <row r="65" spans="1:42" x14ac:dyDescent="0.25">
      <c r="A65" t="str">
        <f t="shared" si="8"/>
        <v>Depreciation</v>
      </c>
      <c r="B65" s="28">
        <f t="shared" si="9"/>
        <v>16666666.666666666</v>
      </c>
    </row>
    <row r="66" spans="1:42" x14ac:dyDescent="0.25">
      <c r="B66" s="28"/>
    </row>
    <row r="67" spans="1:42" x14ac:dyDescent="0.25">
      <c r="A67" t="str">
        <f t="shared" si="8"/>
        <v>Expected energy output</v>
      </c>
      <c r="B67" s="28">
        <f t="shared" si="9"/>
        <v>118181818.18181817</v>
      </c>
      <c r="C67" s="3" t="s">
        <v>47</v>
      </c>
      <c r="F67" s="4"/>
    </row>
    <row r="68" spans="1:42" x14ac:dyDescent="0.25">
      <c r="A68" t="str">
        <f t="shared" si="8"/>
        <v>Efficiency loss annually</v>
      </c>
      <c r="B68" s="10">
        <f t="shared" si="9"/>
        <v>5.0000000000000001E-3</v>
      </c>
      <c r="C68"/>
      <c r="F68" s="4"/>
    </row>
    <row r="69" spans="1:42" x14ac:dyDescent="0.25">
      <c r="B69" s="9"/>
      <c r="C69" s="31">
        <v>2023</v>
      </c>
      <c r="D69" s="31">
        <v>2024</v>
      </c>
      <c r="E69" s="31">
        <v>2025</v>
      </c>
      <c r="F69" s="31">
        <v>2026</v>
      </c>
      <c r="G69" s="31">
        <v>2027</v>
      </c>
      <c r="H69" s="31">
        <v>2028</v>
      </c>
      <c r="I69" s="31">
        <v>2029</v>
      </c>
      <c r="J69" s="31">
        <v>2030</v>
      </c>
      <c r="K69" s="31">
        <v>2031</v>
      </c>
      <c r="L69" s="31">
        <v>2032</v>
      </c>
      <c r="M69" s="31">
        <v>2033</v>
      </c>
      <c r="N69" s="31">
        <v>2034</v>
      </c>
      <c r="O69" s="31">
        <v>2035</v>
      </c>
      <c r="P69" s="31">
        <v>2036</v>
      </c>
      <c r="Q69" s="31">
        <v>2037</v>
      </c>
      <c r="R69" s="31">
        <v>2038</v>
      </c>
      <c r="S69" s="31">
        <v>2039</v>
      </c>
      <c r="T69" s="31">
        <v>2040</v>
      </c>
      <c r="U69" s="31">
        <v>2041</v>
      </c>
      <c r="V69" s="31">
        <v>2042</v>
      </c>
      <c r="W69" s="31">
        <v>2043</v>
      </c>
      <c r="X69" s="31">
        <v>2044</v>
      </c>
      <c r="Y69" s="31">
        <v>2045</v>
      </c>
      <c r="Z69" s="31">
        <v>2046</v>
      </c>
      <c r="AA69" s="31">
        <v>2047</v>
      </c>
      <c r="AB69" s="31">
        <v>2048</v>
      </c>
      <c r="AC69" s="31">
        <v>2049</v>
      </c>
      <c r="AD69" s="31">
        <v>2050</v>
      </c>
      <c r="AE69" s="31">
        <v>2051</v>
      </c>
      <c r="AF69" s="31">
        <v>2052</v>
      </c>
      <c r="AG69" s="31"/>
      <c r="AH69" s="32"/>
      <c r="AI69" s="32"/>
      <c r="AJ69" s="32"/>
      <c r="AK69" s="32"/>
      <c r="AL69" s="32"/>
      <c r="AM69" s="32"/>
      <c r="AN69" s="32"/>
      <c r="AO69" s="32"/>
      <c r="AP69" s="32"/>
    </row>
    <row r="70" spans="1:42" x14ac:dyDescent="0.25">
      <c r="B70" s="9"/>
      <c r="C70" s="29">
        <f>CHOOSE($B$5,C16,C34,C52)</f>
        <v>118181818.18181817</v>
      </c>
      <c r="D70" s="29">
        <f t="shared" ref="D70:AF70" si="10">CHOOSE($B$5,D16,D34,D52)</f>
        <v>117590909.09090908</v>
      </c>
      <c r="E70" s="29">
        <f t="shared" si="10"/>
        <v>117002954.54545453</v>
      </c>
      <c r="F70" s="29">
        <f t="shared" si="10"/>
        <v>116417939.77272727</v>
      </c>
      <c r="G70" s="29">
        <f t="shared" si="10"/>
        <v>115835850.07386363</v>
      </c>
      <c r="H70" s="29">
        <f t="shared" si="10"/>
        <v>115256670.8234943</v>
      </c>
      <c r="I70" s="29">
        <f t="shared" si="10"/>
        <v>114680387.46937683</v>
      </c>
      <c r="J70" s="29">
        <f t="shared" si="10"/>
        <v>114106985.53202994</v>
      </c>
      <c r="K70" s="29">
        <f t="shared" si="10"/>
        <v>113536450.60436979</v>
      </c>
      <c r="L70" s="29">
        <f t="shared" si="10"/>
        <v>112968768.35134794</v>
      </c>
      <c r="M70" s="29">
        <f t="shared" si="10"/>
        <v>112403924.50959119</v>
      </c>
      <c r="N70" s="29">
        <f t="shared" si="10"/>
        <v>111841904.88704324</v>
      </c>
      <c r="O70" s="29">
        <f t="shared" si="10"/>
        <v>111282695.36260802</v>
      </c>
      <c r="P70" s="29">
        <f t="shared" si="10"/>
        <v>110726281.88579498</v>
      </c>
      <c r="Q70" s="29">
        <f t="shared" si="10"/>
        <v>110172650.47636601</v>
      </c>
      <c r="R70" s="29">
        <f t="shared" si="10"/>
        <v>109621787.22398418</v>
      </c>
      <c r="S70" s="29">
        <f t="shared" si="10"/>
        <v>109073678.28786427</v>
      </c>
      <c r="T70" s="29">
        <f t="shared" si="10"/>
        <v>108528309.89642495</v>
      </c>
      <c r="U70" s="29">
        <f t="shared" si="10"/>
        <v>107985668.34694283</v>
      </c>
      <c r="V70" s="29">
        <f t="shared" si="10"/>
        <v>107445740.00520812</v>
      </c>
      <c r="W70" s="29">
        <f t="shared" si="10"/>
        <v>106908511.30518208</v>
      </c>
      <c r="X70" s="29">
        <f t="shared" si="10"/>
        <v>106373968.74865617</v>
      </c>
      <c r="Y70" s="29">
        <f t="shared" si="10"/>
        <v>105842098.90491289</v>
      </c>
      <c r="Z70" s="29">
        <f t="shared" si="10"/>
        <v>105312888.41038832</v>
      </c>
      <c r="AA70" s="29">
        <f t="shared" si="10"/>
        <v>104786323.96833637</v>
      </c>
      <c r="AB70" s="29">
        <f t="shared" si="10"/>
        <v>104262392.34849469</v>
      </c>
      <c r="AC70" s="29">
        <f t="shared" si="10"/>
        <v>103741080.38675222</v>
      </c>
      <c r="AD70" s="29">
        <f t="shared" si="10"/>
        <v>103222374.98481846</v>
      </c>
      <c r="AE70" s="29">
        <f t="shared" si="10"/>
        <v>102706263.10989437</v>
      </c>
      <c r="AF70" s="29">
        <f t="shared" si="10"/>
        <v>102192731.79434489</v>
      </c>
      <c r="AG70" s="3"/>
    </row>
    <row r="71" spans="1:42" x14ac:dyDescent="0.25">
      <c r="B71" s="9"/>
      <c r="C71" s="31">
        <v>2023</v>
      </c>
      <c r="D71" s="31">
        <v>2024</v>
      </c>
      <c r="E71" s="31">
        <v>2025</v>
      </c>
      <c r="F71" s="31">
        <v>2026</v>
      </c>
      <c r="G71" s="31">
        <v>2027</v>
      </c>
      <c r="H71" s="31">
        <v>2028</v>
      </c>
      <c r="I71" s="31">
        <v>2029</v>
      </c>
      <c r="J71" s="31">
        <v>2030</v>
      </c>
      <c r="K71" s="31">
        <v>2031</v>
      </c>
      <c r="L71" s="31">
        <v>2032</v>
      </c>
      <c r="M71" s="31">
        <v>2033</v>
      </c>
      <c r="N71" s="31">
        <v>2034</v>
      </c>
      <c r="O71" s="31">
        <v>2035</v>
      </c>
      <c r="P71" s="31">
        <v>2036</v>
      </c>
      <c r="Q71" s="31">
        <v>2037</v>
      </c>
      <c r="R71" s="31">
        <v>2038</v>
      </c>
      <c r="S71" s="31">
        <v>2039</v>
      </c>
      <c r="T71" s="31">
        <v>2040</v>
      </c>
      <c r="U71" s="31">
        <v>2041</v>
      </c>
      <c r="V71" s="31">
        <v>2042</v>
      </c>
      <c r="W71" s="31">
        <v>2043</v>
      </c>
      <c r="X71" s="31">
        <v>2044</v>
      </c>
      <c r="Y71" s="31">
        <v>2045</v>
      </c>
      <c r="Z71" s="31">
        <v>2046</v>
      </c>
      <c r="AA71" s="31">
        <v>2047</v>
      </c>
      <c r="AB71" s="31">
        <v>2048</v>
      </c>
      <c r="AC71" s="31">
        <v>2049</v>
      </c>
      <c r="AD71" s="31">
        <v>2050</v>
      </c>
      <c r="AE71" s="31">
        <v>2051</v>
      </c>
      <c r="AF71" s="31">
        <v>2052</v>
      </c>
      <c r="AG71" s="31"/>
    </row>
    <row r="72" spans="1:42" x14ac:dyDescent="0.25">
      <c r="A72" s="89" t="str">
        <f t="shared" si="8"/>
        <v>Nordpool spot price with 2.5% increase</v>
      </c>
      <c r="B72" s="10">
        <f t="shared" si="9"/>
        <v>2.5000000000000001E-2</v>
      </c>
      <c r="C72" s="42">
        <f>CHOOSE($B$5,C18,C36,C54)</f>
        <v>0.39</v>
      </c>
      <c r="D72" s="42">
        <f t="shared" ref="D72:AF72" si="11">CHOOSE($B$5,D18,D36,D54)</f>
        <v>0.39974999999999999</v>
      </c>
      <c r="E72" s="42">
        <f t="shared" si="11"/>
        <v>0.40974374999999996</v>
      </c>
      <c r="F72" s="42">
        <f t="shared" si="11"/>
        <v>0.41998734374999991</v>
      </c>
      <c r="G72" s="42">
        <f t="shared" si="11"/>
        <v>0.43048702734374988</v>
      </c>
      <c r="H72" s="42">
        <f t="shared" si="11"/>
        <v>0.44124920302734361</v>
      </c>
      <c r="I72" s="42">
        <f t="shared" si="11"/>
        <v>0.45228043310302718</v>
      </c>
      <c r="J72" s="42">
        <f t="shared" si="11"/>
        <v>0.4635874439306028</v>
      </c>
      <c r="K72" s="42">
        <f t="shared" si="11"/>
        <v>0.47517713002886786</v>
      </c>
      <c r="L72" s="42">
        <f t="shared" si="11"/>
        <v>0.48705655827958949</v>
      </c>
      <c r="M72" s="42">
        <f t="shared" si="11"/>
        <v>0.4992329722365792</v>
      </c>
      <c r="N72" s="42">
        <f t="shared" si="11"/>
        <v>0.5117137965424936</v>
      </c>
      <c r="O72" s="42">
        <f t="shared" si="11"/>
        <v>0.52450664145605586</v>
      </c>
      <c r="P72" s="42">
        <f t="shared" si="11"/>
        <v>0.53761930749245723</v>
      </c>
      <c r="Q72" s="42">
        <f t="shared" si="11"/>
        <v>0.55105979017976858</v>
      </c>
      <c r="R72" s="42">
        <f t="shared" si="11"/>
        <v>0.56483628493426274</v>
      </c>
      <c r="S72" s="42">
        <f t="shared" si="11"/>
        <v>0.57895719205761931</v>
      </c>
      <c r="T72" s="42">
        <f t="shared" si="11"/>
        <v>0.59343112185905977</v>
      </c>
      <c r="U72" s="42">
        <f t="shared" si="11"/>
        <v>0.60826689990553617</v>
      </c>
      <c r="V72" s="42">
        <f t="shared" si="11"/>
        <v>0.62347357240317447</v>
      </c>
      <c r="W72" s="42">
        <f t="shared" si="11"/>
        <v>0.63906041171325378</v>
      </c>
      <c r="X72" s="42">
        <f t="shared" si="11"/>
        <v>0.6550369220060851</v>
      </c>
      <c r="Y72" s="42">
        <f t="shared" si="11"/>
        <v>0.67141284505623722</v>
      </c>
      <c r="Z72" s="42">
        <f t="shared" si="11"/>
        <v>0.68819816618264307</v>
      </c>
      <c r="AA72" s="42">
        <f t="shared" si="11"/>
        <v>0.70540312033720909</v>
      </c>
      <c r="AB72" s="42">
        <f t="shared" si="11"/>
        <v>0.7230381983456392</v>
      </c>
      <c r="AC72" s="42">
        <f t="shared" si="11"/>
        <v>0.7411141533042801</v>
      </c>
      <c r="AD72" s="42">
        <f t="shared" si="11"/>
        <v>0.75964200713688701</v>
      </c>
      <c r="AE72" s="42">
        <f t="shared" si="11"/>
        <v>0.77863305731530907</v>
      </c>
      <c r="AF72" s="42">
        <f t="shared" si="11"/>
        <v>0.79809888374819171</v>
      </c>
      <c r="AG72" s="42"/>
    </row>
    <row r="73" spans="1:42" x14ac:dyDescent="0.25">
      <c r="B73" s="9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</row>
    <row r="74" spans="1:42" x14ac:dyDescent="0.25">
      <c r="B74" s="9"/>
      <c r="C74" s="33"/>
      <c r="D74" s="33"/>
      <c r="E74" s="33"/>
    </row>
    <row r="75" spans="1:42" x14ac:dyDescent="0.25">
      <c r="A75" t="str">
        <f t="shared" si="8"/>
        <v>Discount rate</v>
      </c>
      <c r="B75" s="8">
        <f t="shared" si="9"/>
        <v>7.2400000000000006E-2</v>
      </c>
      <c r="C75" s="35"/>
      <c r="D75" s="36"/>
      <c r="E75" s="37"/>
      <c r="H75" s="19"/>
    </row>
    <row r="76" spans="1:42" x14ac:dyDescent="0.25">
      <c r="A76" t="str">
        <f t="shared" si="8"/>
        <v>Tax rate</v>
      </c>
      <c r="B76" s="7">
        <f t="shared" si="9"/>
        <v>0.22</v>
      </c>
      <c r="C76" s="35"/>
      <c r="D76" s="36"/>
      <c r="E76" s="37"/>
      <c r="H76" s="19"/>
    </row>
    <row r="78" spans="1:42" x14ac:dyDescent="0.25">
      <c r="B78" s="34"/>
      <c r="C78" s="34"/>
    </row>
    <row r="79" spans="1:42" x14ac:dyDescent="0.25">
      <c r="A79" s="19"/>
      <c r="B79" s="20"/>
      <c r="C79" s="20"/>
    </row>
    <row r="80" spans="1:42" ht="18.75" x14ac:dyDescent="0.3">
      <c r="A80" s="24" t="s">
        <v>3</v>
      </c>
      <c r="B80" s="26"/>
      <c r="C80" s="26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spans="1:33" ht="15.6" customHeight="1" x14ac:dyDescent="0.25">
      <c r="A81" s="38"/>
      <c r="B81" s="39">
        <v>0</v>
      </c>
      <c r="C81" s="39">
        <f t="shared" ref="C81:AF81" si="12">B81+1</f>
        <v>1</v>
      </c>
      <c r="D81" s="39">
        <f t="shared" si="12"/>
        <v>2</v>
      </c>
      <c r="E81" s="39">
        <f t="shared" si="12"/>
        <v>3</v>
      </c>
      <c r="F81" s="39">
        <f t="shared" si="12"/>
        <v>4</v>
      </c>
      <c r="G81" s="39">
        <f t="shared" si="12"/>
        <v>5</v>
      </c>
      <c r="H81" s="39">
        <f t="shared" si="12"/>
        <v>6</v>
      </c>
      <c r="I81" s="39">
        <f t="shared" si="12"/>
        <v>7</v>
      </c>
      <c r="J81" s="39">
        <f t="shared" si="12"/>
        <v>8</v>
      </c>
      <c r="K81" s="39">
        <f t="shared" si="12"/>
        <v>9</v>
      </c>
      <c r="L81" s="39">
        <f t="shared" si="12"/>
        <v>10</v>
      </c>
      <c r="M81" s="39">
        <f t="shared" si="12"/>
        <v>11</v>
      </c>
      <c r="N81" s="39">
        <f t="shared" si="12"/>
        <v>12</v>
      </c>
      <c r="O81" s="39">
        <f t="shared" si="12"/>
        <v>13</v>
      </c>
      <c r="P81" s="39">
        <f t="shared" si="12"/>
        <v>14</v>
      </c>
      <c r="Q81" s="39">
        <f t="shared" si="12"/>
        <v>15</v>
      </c>
      <c r="R81" s="39">
        <f t="shared" si="12"/>
        <v>16</v>
      </c>
      <c r="S81" s="39">
        <f t="shared" si="12"/>
        <v>17</v>
      </c>
      <c r="T81" s="39">
        <f t="shared" si="12"/>
        <v>18</v>
      </c>
      <c r="U81" s="39">
        <f t="shared" si="12"/>
        <v>19</v>
      </c>
      <c r="V81" s="39">
        <f t="shared" si="12"/>
        <v>20</v>
      </c>
      <c r="W81" s="39">
        <f t="shared" si="12"/>
        <v>21</v>
      </c>
      <c r="X81" s="39">
        <f t="shared" si="12"/>
        <v>22</v>
      </c>
      <c r="Y81" s="39">
        <f t="shared" si="12"/>
        <v>23</v>
      </c>
      <c r="Z81" s="39">
        <f t="shared" si="12"/>
        <v>24</v>
      </c>
      <c r="AA81" s="39">
        <f t="shared" si="12"/>
        <v>25</v>
      </c>
      <c r="AB81" s="39">
        <f t="shared" si="12"/>
        <v>26</v>
      </c>
      <c r="AC81" s="39">
        <f t="shared" si="12"/>
        <v>27</v>
      </c>
      <c r="AD81" s="39">
        <f t="shared" si="12"/>
        <v>28</v>
      </c>
      <c r="AE81" s="39">
        <f t="shared" si="12"/>
        <v>29</v>
      </c>
      <c r="AF81" s="39">
        <f t="shared" si="12"/>
        <v>30</v>
      </c>
    </row>
    <row r="82" spans="1:33" s="14" customFormat="1" x14ac:dyDescent="0.25">
      <c r="A82" s="46" t="s">
        <v>50</v>
      </c>
      <c r="B82" s="46"/>
      <c r="C82" s="47">
        <v>2023</v>
      </c>
      <c r="D82" s="47">
        <v>2024</v>
      </c>
      <c r="E82" s="47">
        <v>2025</v>
      </c>
      <c r="F82" s="47">
        <v>2026</v>
      </c>
      <c r="G82" s="47">
        <v>2027</v>
      </c>
      <c r="H82" s="47">
        <v>2028</v>
      </c>
      <c r="I82" s="47">
        <v>2029</v>
      </c>
      <c r="J82" s="47">
        <v>2030</v>
      </c>
      <c r="K82" s="47">
        <v>2031</v>
      </c>
      <c r="L82" s="47">
        <v>2032</v>
      </c>
      <c r="M82" s="47">
        <v>2033</v>
      </c>
      <c r="N82" s="47">
        <v>2034</v>
      </c>
      <c r="O82" s="47">
        <v>2035</v>
      </c>
      <c r="P82" s="47">
        <v>2036</v>
      </c>
      <c r="Q82" s="47">
        <v>2037</v>
      </c>
      <c r="R82" s="47">
        <v>2038</v>
      </c>
      <c r="S82" s="47">
        <v>2039</v>
      </c>
      <c r="T82" s="47">
        <v>2040</v>
      </c>
      <c r="U82" s="47">
        <v>2041</v>
      </c>
      <c r="V82" s="47">
        <v>2042</v>
      </c>
      <c r="W82" s="47">
        <v>2043</v>
      </c>
      <c r="X82" s="47">
        <v>2044</v>
      </c>
      <c r="Y82" s="47">
        <v>2045</v>
      </c>
      <c r="Z82" s="47">
        <v>2046</v>
      </c>
      <c r="AA82" s="47">
        <v>2047</v>
      </c>
      <c r="AB82" s="47">
        <v>2048</v>
      </c>
      <c r="AC82" s="47">
        <v>2049</v>
      </c>
      <c r="AD82" s="47">
        <v>2050</v>
      </c>
      <c r="AE82" s="47">
        <v>2051</v>
      </c>
      <c r="AF82" s="47">
        <v>2052</v>
      </c>
      <c r="AG82" s="52"/>
    </row>
    <row r="83" spans="1:33" x14ac:dyDescent="0.25">
      <c r="A83" t="s">
        <v>2</v>
      </c>
      <c r="B83" s="56">
        <f>-B61</f>
        <v>-500000000</v>
      </c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</row>
    <row r="84" spans="1:33" x14ac:dyDescent="0.25">
      <c r="A84" s="19" t="s">
        <v>56</v>
      </c>
      <c r="B84" s="56"/>
      <c r="C84" s="56">
        <f>C72*C70</f>
        <v>46090909.090909086</v>
      </c>
      <c r="D84" s="56">
        <f t="shared" ref="D84:AE84" si="13">D72*D70</f>
        <v>47006965.909090906</v>
      </c>
      <c r="E84" s="56">
        <f t="shared" si="13"/>
        <v>47941229.356534079</v>
      </c>
      <c r="F84" s="56">
        <f t="shared" si="13"/>
        <v>48894061.289995193</v>
      </c>
      <c r="G84" s="56">
        <f t="shared" si="13"/>
        <v>49865830.758133844</v>
      </c>
      <c r="H84" s="56">
        <f t="shared" si="13"/>
        <v>50856914.144451745</v>
      </c>
      <c r="I84" s="56">
        <f t="shared" si="13"/>
        <v>51867695.313072726</v>
      </c>
      <c r="J84" s="56">
        <f t="shared" si="13"/>
        <v>52898565.757420033</v>
      </c>
      <c r="K84" s="56">
        <f t="shared" si="13"/>
        <v>53949924.751848757</v>
      </c>
      <c r="L84" s="56">
        <f t="shared" si="13"/>
        <v>55022179.50629174</v>
      </c>
      <c r="M84" s="56">
        <f t="shared" si="13"/>
        <v>56115745.323979281</v>
      </c>
      <c r="N84" s="56">
        <f t="shared" si="13"/>
        <v>57231045.762293361</v>
      </c>
      <c r="O84" s="56">
        <f t="shared" si="13"/>
        <v>58368512.796818934</v>
      </c>
      <c r="P84" s="56">
        <f t="shared" si="13"/>
        <v>59528586.988655709</v>
      </c>
      <c r="Q84" s="56">
        <f t="shared" si="13"/>
        <v>60711717.65505524</v>
      </c>
      <c r="R84" s="56">
        <f t="shared" si="13"/>
        <v>61918363.043449454</v>
      </c>
      <c r="S84" s="56">
        <f t="shared" si="13"/>
        <v>63148990.508938015</v>
      </c>
      <c r="T84" s="56">
        <f t="shared" si="13"/>
        <v>64404076.695303157</v>
      </c>
      <c r="U84" s="56">
        <f t="shared" si="13"/>
        <v>65684107.719622299</v>
      </c>
      <c r="V84" s="56">
        <f t="shared" si="13"/>
        <v>66989579.360549785</v>
      </c>
      <c r="W84" s="56">
        <f t="shared" si="13"/>
        <v>68320997.250340715</v>
      </c>
      <c r="X84" s="56">
        <f t="shared" si="13"/>
        <v>69678877.070691228</v>
      </c>
      <c r="Y84" s="56">
        <f t="shared" si="13"/>
        <v>71063744.752471209</v>
      </c>
      <c r="Z84" s="56">
        <f t="shared" si="13"/>
        <v>72476136.679426566</v>
      </c>
      <c r="AA84" s="56">
        <f t="shared" si="13"/>
        <v>73916599.895930156</v>
      </c>
      <c r="AB84" s="56">
        <f t="shared" si="13"/>
        <v>75385692.318861768</v>
      </c>
      <c r="AC84" s="56">
        <f t="shared" si="13"/>
        <v>76883982.953699127</v>
      </c>
      <c r="AD84" s="56">
        <f t="shared" si="13"/>
        <v>78412052.114903897</v>
      </c>
      <c r="AE84" s="56">
        <f t="shared" si="13"/>
        <v>79970491.65068759</v>
      </c>
      <c r="AF84" s="56">
        <f>AF72*AF70</f>
        <v>81559905.172244996</v>
      </c>
    </row>
    <row r="85" spans="1:33" s="40" customFormat="1" ht="18.75" x14ac:dyDescent="0.3">
      <c r="A85" t="s">
        <v>5</v>
      </c>
      <c r="B85" s="56"/>
      <c r="C85" s="56">
        <f>-$B$62</f>
        <v>-7700000.0000000009</v>
      </c>
      <c r="D85" s="56">
        <f t="shared" ref="D85:AF85" si="14">-$B$62</f>
        <v>-7700000.0000000009</v>
      </c>
      <c r="E85" s="56">
        <f t="shared" si="14"/>
        <v>-7700000.0000000009</v>
      </c>
      <c r="F85" s="56">
        <f t="shared" si="14"/>
        <v>-7700000.0000000009</v>
      </c>
      <c r="G85" s="56">
        <f t="shared" si="14"/>
        <v>-7700000.0000000009</v>
      </c>
      <c r="H85" s="56">
        <f t="shared" si="14"/>
        <v>-7700000.0000000009</v>
      </c>
      <c r="I85" s="56">
        <f t="shared" si="14"/>
        <v>-7700000.0000000009</v>
      </c>
      <c r="J85" s="56">
        <f t="shared" si="14"/>
        <v>-7700000.0000000009</v>
      </c>
      <c r="K85" s="56">
        <f t="shared" si="14"/>
        <v>-7700000.0000000009</v>
      </c>
      <c r="L85" s="56">
        <f t="shared" si="14"/>
        <v>-7700000.0000000009</v>
      </c>
      <c r="M85" s="56">
        <f t="shared" si="14"/>
        <v>-7700000.0000000009</v>
      </c>
      <c r="N85" s="56">
        <f t="shared" si="14"/>
        <v>-7700000.0000000009</v>
      </c>
      <c r="O85" s="56">
        <f t="shared" si="14"/>
        <v>-7700000.0000000009</v>
      </c>
      <c r="P85" s="56">
        <f t="shared" si="14"/>
        <v>-7700000.0000000009</v>
      </c>
      <c r="Q85" s="56">
        <f t="shared" si="14"/>
        <v>-7700000.0000000009</v>
      </c>
      <c r="R85" s="56">
        <f t="shared" si="14"/>
        <v>-7700000.0000000009</v>
      </c>
      <c r="S85" s="56">
        <f t="shared" si="14"/>
        <v>-7700000.0000000009</v>
      </c>
      <c r="T85" s="56">
        <f t="shared" si="14"/>
        <v>-7700000.0000000009</v>
      </c>
      <c r="U85" s="56">
        <f t="shared" si="14"/>
        <v>-7700000.0000000009</v>
      </c>
      <c r="V85" s="56">
        <f t="shared" si="14"/>
        <v>-7700000.0000000009</v>
      </c>
      <c r="W85" s="56">
        <f t="shared" si="14"/>
        <v>-7700000.0000000009</v>
      </c>
      <c r="X85" s="56">
        <f t="shared" si="14"/>
        <v>-7700000.0000000009</v>
      </c>
      <c r="Y85" s="56">
        <f t="shared" si="14"/>
        <v>-7700000.0000000009</v>
      </c>
      <c r="Z85" s="56">
        <f t="shared" si="14"/>
        <v>-7700000.0000000009</v>
      </c>
      <c r="AA85" s="56">
        <f t="shared" si="14"/>
        <v>-7700000.0000000009</v>
      </c>
      <c r="AB85" s="56">
        <f t="shared" si="14"/>
        <v>-7700000.0000000009</v>
      </c>
      <c r="AC85" s="56">
        <f t="shared" si="14"/>
        <v>-7700000.0000000009</v>
      </c>
      <c r="AD85" s="56">
        <f t="shared" si="14"/>
        <v>-7700000.0000000009</v>
      </c>
      <c r="AE85" s="56">
        <f t="shared" si="14"/>
        <v>-7700000.0000000009</v>
      </c>
      <c r="AF85" s="56">
        <f t="shared" si="14"/>
        <v>-7700000.0000000009</v>
      </c>
    </row>
    <row r="86" spans="1:33" x14ac:dyDescent="0.25">
      <c r="A86" t="s">
        <v>51</v>
      </c>
      <c r="B86" s="56"/>
      <c r="C86" s="56">
        <f>-B98</f>
        <v>-4779333.333333333</v>
      </c>
      <c r="D86" s="56">
        <f t="shared" ref="D86:AF86" si="15">-C98</f>
        <v>-4980865.833333333</v>
      </c>
      <c r="E86" s="56">
        <f t="shared" si="15"/>
        <v>-5186403.7917708317</v>
      </c>
      <c r="F86" s="56">
        <f t="shared" si="15"/>
        <v>-5396026.8171322765</v>
      </c>
      <c r="G86" s="56">
        <f t="shared" si="15"/>
        <v>-5609816.1001227796</v>
      </c>
      <c r="H86" s="56">
        <f t="shared" si="15"/>
        <v>-5827854.4451127173</v>
      </c>
      <c r="I86" s="56">
        <f t="shared" si="15"/>
        <v>-6050226.3022093335</v>
      </c>
      <c r="J86" s="56">
        <f t="shared" si="15"/>
        <v>-6277017.7999657411</v>
      </c>
      <c r="K86" s="56">
        <f t="shared" si="15"/>
        <v>-6508316.7787400605</v>
      </c>
      <c r="L86" s="56">
        <f t="shared" si="15"/>
        <v>-6744212.824717517</v>
      </c>
      <c r="M86" s="56">
        <f t="shared" si="15"/>
        <v>-6984797.3046087753</v>
      </c>
      <c r="N86" s="56">
        <f t="shared" si="15"/>
        <v>-7230163.4010378737</v>
      </c>
      <c r="O86" s="56">
        <f t="shared" si="15"/>
        <v>-7480406.1486334996</v>
      </c>
      <c r="P86" s="56">
        <f t="shared" si="15"/>
        <v>-7735622.4708375903</v>
      </c>
      <c r="Q86" s="56">
        <f t="shared" si="15"/>
        <v>-7995911.2174454862</v>
      </c>
      <c r="R86" s="56">
        <f t="shared" si="15"/>
        <v>-8261373.2028922141</v>
      </c>
      <c r="S86" s="56">
        <f t="shared" si="15"/>
        <v>-8532111.2452996969</v>
      </c>
      <c r="T86" s="56">
        <f t="shared" si="15"/>
        <v>-8808230.2063000277</v>
      </c>
      <c r="U86" s="56">
        <f t="shared" si="15"/>
        <v>-9089837.0316502396</v>
      </c>
      <c r="V86" s="56">
        <f t="shared" si="15"/>
        <v>-9377040.7926542871</v>
      </c>
      <c r="W86" s="56">
        <f t="shared" si="15"/>
        <v>-9669952.7284082919</v>
      </c>
      <c r="X86" s="56">
        <f t="shared" si="15"/>
        <v>-9968686.2888854034</v>
      </c>
      <c r="Y86" s="56">
        <f t="shared" si="15"/>
        <v>-10273357.178877</v>
      </c>
      <c r="Z86" s="56">
        <f t="shared" si="15"/>
        <v>-10584083.402807178</v>
      </c>
      <c r="AA86" s="56">
        <f t="shared" si="15"/>
        <v>-10900985.310437968</v>
      </c>
      <c r="AB86" s="56">
        <f t="shared" si="15"/>
        <v>-11224185.643482924</v>
      </c>
      <c r="AC86" s="56">
        <f t="shared" si="15"/>
        <v>-11553809.583147142</v>
      </c>
      <c r="AD86" s="56">
        <f t="shared" si="15"/>
        <v>-11889984.79861219</v>
      </c>
      <c r="AE86" s="56">
        <f t="shared" si="15"/>
        <v>-12232841.496484604</v>
      </c>
      <c r="AF86" s="56">
        <f t="shared" si="15"/>
        <v>-12582512.471227232</v>
      </c>
    </row>
    <row r="87" spans="1:33" s="41" customFormat="1" x14ac:dyDescent="0.25">
      <c r="A87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8"/>
      <c r="X87" s="58"/>
      <c r="Y87" s="58"/>
      <c r="Z87" s="58"/>
      <c r="AA87" s="58"/>
      <c r="AB87" s="58"/>
      <c r="AC87" s="58"/>
      <c r="AD87" s="58"/>
      <c r="AE87" s="58"/>
      <c r="AF87" s="58"/>
    </row>
    <row r="88" spans="1:33" x14ac:dyDescent="0.25">
      <c r="A88" s="21" t="s">
        <v>6</v>
      </c>
      <c r="B88" s="59">
        <f>SUM(B83:B86)</f>
        <v>-500000000</v>
      </c>
      <c r="C88" s="59">
        <f t="shared" ref="C88:AE88" si="16">SUM(C83:C86)</f>
        <v>33611575.75757575</v>
      </c>
      <c r="D88" s="59">
        <f t="shared" si="16"/>
        <v>34326100.075757571</v>
      </c>
      <c r="E88" s="59">
        <f t="shared" si="16"/>
        <v>35054825.564763248</v>
      </c>
      <c r="F88" s="59">
        <f t="shared" si="16"/>
        <v>35798034.472862914</v>
      </c>
      <c r="G88" s="59">
        <f t="shared" si="16"/>
        <v>36556014.658011064</v>
      </c>
      <c r="H88" s="59">
        <f t="shared" si="16"/>
        <v>37329059.699339025</v>
      </c>
      <c r="I88" s="59">
        <f t="shared" si="16"/>
        <v>38117469.010863394</v>
      </c>
      <c r="J88" s="59">
        <f t="shared" si="16"/>
        <v>38921547.957454294</v>
      </c>
      <c r="K88" s="59">
        <f t="shared" si="16"/>
        <v>39741607.973108694</v>
      </c>
      <c r="L88" s="59">
        <f t="shared" si="16"/>
        <v>40577966.681574225</v>
      </c>
      <c r="M88" s="59">
        <f t="shared" si="16"/>
        <v>41430948.019370504</v>
      </c>
      <c r="N88" s="59">
        <f t="shared" si="16"/>
        <v>42300882.361255489</v>
      </c>
      <c r="O88" s="59">
        <f t="shared" si="16"/>
        <v>43188106.648185432</v>
      </c>
      <c r="P88" s="59">
        <f t="shared" si="16"/>
        <v>44092964.517818116</v>
      </c>
      <c r="Q88" s="59">
        <f t="shared" si="16"/>
        <v>45015806.437609755</v>
      </c>
      <c r="R88" s="59">
        <f t="shared" si="16"/>
        <v>45956989.84055724</v>
      </c>
      <c r="S88" s="59">
        <f t="shared" si="16"/>
        <v>46916879.263638318</v>
      </c>
      <c r="T88" s="59">
        <f t="shared" si="16"/>
        <v>47895846.489003129</v>
      </c>
      <c r="U88" s="59">
        <f t="shared" si="16"/>
        <v>48894270.687972061</v>
      </c>
      <c r="V88" s="59">
        <f t="shared" si="16"/>
        <v>49912538.567895502</v>
      </c>
      <c r="W88" s="59">
        <f t="shared" si="16"/>
        <v>50951044.521932423</v>
      </c>
      <c r="X88" s="59">
        <f t="shared" si="16"/>
        <v>52010190.781805828</v>
      </c>
      <c r="Y88" s="59">
        <f t="shared" si="16"/>
        <v>53090387.573594213</v>
      </c>
      <c r="Z88" s="59">
        <f t="shared" si="16"/>
        <v>54192053.27661939</v>
      </c>
      <c r="AA88" s="59">
        <f t="shared" si="16"/>
        <v>55315614.585492186</v>
      </c>
      <c r="AB88" s="59">
        <f t="shared" si="16"/>
        <v>56461506.675378844</v>
      </c>
      <c r="AC88" s="59">
        <f t="shared" si="16"/>
        <v>57630173.370551988</v>
      </c>
      <c r="AD88" s="59">
        <f t="shared" si="16"/>
        <v>58822067.316291705</v>
      </c>
      <c r="AE88" s="59">
        <f t="shared" si="16"/>
        <v>60037650.154202983</v>
      </c>
      <c r="AF88" s="59">
        <f>SUM(AF83:AF86)</f>
        <v>61277392.701017767</v>
      </c>
    </row>
    <row r="89" spans="1:33" x14ac:dyDescent="0.25">
      <c r="A89" t="s">
        <v>32</v>
      </c>
      <c r="B89" s="56">
        <f>SUM(B88)</f>
        <v>-500000000</v>
      </c>
      <c r="C89" s="56">
        <f>SUM($B$88:C88)</f>
        <v>-466388424.24242425</v>
      </c>
      <c r="D89" s="56">
        <f>SUM($B$88:D88)</f>
        <v>-432062324.16666669</v>
      </c>
      <c r="E89" s="56">
        <f>SUM($B$88:E88)</f>
        <v>-397007498.60190344</v>
      </c>
      <c r="F89" s="56">
        <f>SUM($B$88:F88)</f>
        <v>-361209464.12904054</v>
      </c>
      <c r="G89" s="56">
        <f>SUM($B$88:G88)</f>
        <v>-324653449.47102946</v>
      </c>
      <c r="H89" s="56">
        <f>SUM($B$88:H88)</f>
        <v>-287324389.77169043</v>
      </c>
      <c r="I89" s="56">
        <f>SUM($B$88:I88)</f>
        <v>-249206920.76082703</v>
      </c>
      <c r="J89" s="56">
        <f>SUM($B$88:J88)</f>
        <v>-210285372.80337274</v>
      </c>
      <c r="K89" s="56">
        <f>SUM($B$88:K88)</f>
        <v>-170543764.83026403</v>
      </c>
      <c r="L89" s="56">
        <f>SUM($B$88:L88)</f>
        <v>-129965798.14868981</v>
      </c>
      <c r="M89" s="56">
        <f>SUM($B$88:M88)</f>
        <v>-88534850.12931931</v>
      </c>
      <c r="N89" s="56">
        <f>SUM($B$88:N88)</f>
        <v>-46233967.768063821</v>
      </c>
      <c r="O89" s="56">
        <f>SUM($B$88:O88)</f>
        <v>-3045861.1198783889</v>
      </c>
      <c r="P89" s="56">
        <f>SUM($B$88:P88)</f>
        <v>41047103.397939727</v>
      </c>
      <c r="Q89" s="56">
        <f>SUM($B$88:Q88)</f>
        <v>86062909.835549474</v>
      </c>
      <c r="R89" s="56">
        <f>SUM($B$88:R88)</f>
        <v>132019899.67610672</v>
      </c>
      <c r="S89" s="56">
        <f>SUM($B$88:S88)</f>
        <v>178936778.93974504</v>
      </c>
      <c r="T89" s="56">
        <f>SUM($B$88:T88)</f>
        <v>226832625.42874816</v>
      </c>
      <c r="U89" s="56">
        <f>SUM($B$88:U88)</f>
        <v>275726896.1167202</v>
      </c>
      <c r="V89" s="56">
        <f>SUM($B$88:V88)</f>
        <v>325639434.68461573</v>
      </c>
      <c r="W89" s="56">
        <f>SUM($B$88:W88)</f>
        <v>376590479.20654815</v>
      </c>
      <c r="X89" s="56">
        <f>SUM($B$88:X88)</f>
        <v>428600669.98835397</v>
      </c>
      <c r="Y89" s="56">
        <f>SUM($B$88:Y88)</f>
        <v>481691057.56194818</v>
      </c>
      <c r="Z89" s="56">
        <f>SUM($B$88:Z88)</f>
        <v>535883110.83856755</v>
      </c>
      <c r="AA89" s="56">
        <f>SUM($B$88:AA88)</f>
        <v>591198725.42405975</v>
      </c>
      <c r="AB89" s="56">
        <f>SUM($B$88:AB88)</f>
        <v>647660232.09943855</v>
      </c>
      <c r="AC89" s="56">
        <f>SUM($B$88:AC88)</f>
        <v>705290405.46999049</v>
      </c>
      <c r="AD89" s="56">
        <f>SUM($B$88:AD88)</f>
        <v>764112472.78628218</v>
      </c>
      <c r="AE89" s="56">
        <f>SUM($B$88:AE88)</f>
        <v>824150122.94048512</v>
      </c>
      <c r="AF89" s="56">
        <f>SUM($B$88:AF88)</f>
        <v>885427515.64150286</v>
      </c>
    </row>
    <row r="90" spans="1:33" x14ac:dyDescent="0.25"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</row>
    <row r="92" spans="1:33" ht="18.75" x14ac:dyDescent="0.3">
      <c r="A92" s="24" t="s">
        <v>53</v>
      </c>
    </row>
    <row r="93" spans="1:33" s="14" customFormat="1" x14ac:dyDescent="0.25">
      <c r="A93" s="46" t="s">
        <v>50</v>
      </c>
      <c r="B93" s="47">
        <v>2023</v>
      </c>
      <c r="C93" s="47">
        <v>2024</v>
      </c>
      <c r="D93" s="47">
        <v>2025</v>
      </c>
      <c r="E93" s="47">
        <v>2026</v>
      </c>
      <c r="F93" s="47">
        <v>2027</v>
      </c>
      <c r="G93" s="47">
        <v>2028</v>
      </c>
      <c r="H93" s="47">
        <v>2029</v>
      </c>
      <c r="I93" s="47">
        <v>2030</v>
      </c>
      <c r="J93" s="47">
        <v>2031</v>
      </c>
      <c r="K93" s="47">
        <v>2032</v>
      </c>
      <c r="L93" s="47">
        <v>2033</v>
      </c>
      <c r="M93" s="47">
        <v>2034</v>
      </c>
      <c r="N93" s="47">
        <v>2035</v>
      </c>
      <c r="O93" s="47">
        <v>2036</v>
      </c>
      <c r="P93" s="47">
        <v>2037</v>
      </c>
      <c r="Q93" s="47">
        <v>2038</v>
      </c>
      <c r="R93" s="47">
        <v>2039</v>
      </c>
      <c r="S93" s="47">
        <v>2040</v>
      </c>
      <c r="T93" s="47">
        <v>2041</v>
      </c>
      <c r="U93" s="47">
        <v>2042</v>
      </c>
      <c r="V93" s="47">
        <v>2043</v>
      </c>
      <c r="W93" s="47">
        <v>2044</v>
      </c>
      <c r="X93" s="47">
        <v>2045</v>
      </c>
      <c r="Y93" s="47">
        <v>2046</v>
      </c>
      <c r="Z93" s="47">
        <v>2047</v>
      </c>
      <c r="AA93" s="47">
        <v>2048</v>
      </c>
      <c r="AB93" s="47">
        <v>2049</v>
      </c>
      <c r="AC93" s="47">
        <v>2050</v>
      </c>
      <c r="AD93" s="47">
        <v>2051</v>
      </c>
      <c r="AE93" s="47">
        <v>2052</v>
      </c>
      <c r="AG93" s="52"/>
    </row>
    <row r="94" spans="1:33" x14ac:dyDescent="0.25">
      <c r="A94" t="s">
        <v>4</v>
      </c>
      <c r="B94" s="56">
        <f>C84</f>
        <v>46090909.090909086</v>
      </c>
      <c r="C94" s="56">
        <f t="shared" ref="C94:AE94" si="17">D84</f>
        <v>47006965.909090906</v>
      </c>
      <c r="D94" s="56">
        <f t="shared" si="17"/>
        <v>47941229.356534079</v>
      </c>
      <c r="E94" s="56">
        <f t="shared" si="17"/>
        <v>48894061.289995193</v>
      </c>
      <c r="F94" s="56">
        <f t="shared" si="17"/>
        <v>49865830.758133844</v>
      </c>
      <c r="G94" s="56">
        <f t="shared" si="17"/>
        <v>50856914.144451745</v>
      </c>
      <c r="H94" s="56">
        <f t="shared" si="17"/>
        <v>51867695.313072726</v>
      </c>
      <c r="I94" s="56">
        <f t="shared" si="17"/>
        <v>52898565.757420033</v>
      </c>
      <c r="J94" s="56">
        <f t="shared" si="17"/>
        <v>53949924.751848757</v>
      </c>
      <c r="K94" s="56">
        <f t="shared" si="17"/>
        <v>55022179.50629174</v>
      </c>
      <c r="L94" s="56">
        <f t="shared" si="17"/>
        <v>56115745.323979281</v>
      </c>
      <c r="M94" s="56">
        <f t="shared" si="17"/>
        <v>57231045.762293361</v>
      </c>
      <c r="N94" s="56">
        <f t="shared" si="17"/>
        <v>58368512.796818934</v>
      </c>
      <c r="O94" s="56">
        <f t="shared" si="17"/>
        <v>59528586.988655709</v>
      </c>
      <c r="P94" s="56">
        <f t="shared" si="17"/>
        <v>60711717.65505524</v>
      </c>
      <c r="Q94" s="56">
        <f t="shared" si="17"/>
        <v>61918363.043449454</v>
      </c>
      <c r="R94" s="56">
        <f t="shared" si="17"/>
        <v>63148990.508938015</v>
      </c>
      <c r="S94" s="56">
        <f t="shared" si="17"/>
        <v>64404076.695303157</v>
      </c>
      <c r="T94" s="56">
        <f t="shared" si="17"/>
        <v>65684107.719622299</v>
      </c>
      <c r="U94" s="56">
        <f t="shared" si="17"/>
        <v>66989579.360549785</v>
      </c>
      <c r="V94" s="56">
        <f t="shared" si="17"/>
        <v>68320997.250340715</v>
      </c>
      <c r="W94" s="56">
        <f t="shared" si="17"/>
        <v>69678877.070691228</v>
      </c>
      <c r="X94" s="56">
        <f t="shared" si="17"/>
        <v>71063744.752471209</v>
      </c>
      <c r="Y94" s="56">
        <f t="shared" si="17"/>
        <v>72476136.679426566</v>
      </c>
      <c r="Z94" s="56">
        <f t="shared" si="17"/>
        <v>73916599.895930156</v>
      </c>
      <c r="AA94" s="56">
        <f t="shared" si="17"/>
        <v>75385692.318861768</v>
      </c>
      <c r="AB94" s="56">
        <f t="shared" si="17"/>
        <v>76883982.953699127</v>
      </c>
      <c r="AC94" s="56">
        <f t="shared" si="17"/>
        <v>78412052.114903897</v>
      </c>
      <c r="AD94" s="56">
        <f t="shared" si="17"/>
        <v>79970491.65068759</v>
      </c>
      <c r="AE94" s="56">
        <f t="shared" si="17"/>
        <v>81559905.172244996</v>
      </c>
    </row>
    <row r="95" spans="1:33" x14ac:dyDescent="0.25">
      <c r="A95" t="s">
        <v>54</v>
      </c>
      <c r="B95" s="56">
        <f>C85</f>
        <v>-7700000.0000000009</v>
      </c>
      <c r="C95" s="56">
        <f t="shared" ref="C95:AE95" si="18">D85</f>
        <v>-7700000.0000000009</v>
      </c>
      <c r="D95" s="56">
        <f t="shared" si="18"/>
        <v>-7700000.0000000009</v>
      </c>
      <c r="E95" s="56">
        <f t="shared" si="18"/>
        <v>-7700000.0000000009</v>
      </c>
      <c r="F95" s="56">
        <f t="shared" si="18"/>
        <v>-7700000.0000000009</v>
      </c>
      <c r="G95" s="56">
        <f t="shared" si="18"/>
        <v>-7700000.0000000009</v>
      </c>
      <c r="H95" s="56">
        <f t="shared" si="18"/>
        <v>-7700000.0000000009</v>
      </c>
      <c r="I95" s="56">
        <f t="shared" si="18"/>
        <v>-7700000.0000000009</v>
      </c>
      <c r="J95" s="56">
        <f t="shared" si="18"/>
        <v>-7700000.0000000009</v>
      </c>
      <c r="K95" s="56">
        <f t="shared" si="18"/>
        <v>-7700000.0000000009</v>
      </c>
      <c r="L95" s="56">
        <f t="shared" si="18"/>
        <v>-7700000.0000000009</v>
      </c>
      <c r="M95" s="56">
        <f t="shared" si="18"/>
        <v>-7700000.0000000009</v>
      </c>
      <c r="N95" s="56">
        <f t="shared" si="18"/>
        <v>-7700000.0000000009</v>
      </c>
      <c r="O95" s="56">
        <f t="shared" si="18"/>
        <v>-7700000.0000000009</v>
      </c>
      <c r="P95" s="56">
        <f t="shared" si="18"/>
        <v>-7700000.0000000009</v>
      </c>
      <c r="Q95" s="56">
        <f t="shared" si="18"/>
        <v>-7700000.0000000009</v>
      </c>
      <c r="R95" s="56">
        <f t="shared" si="18"/>
        <v>-7700000.0000000009</v>
      </c>
      <c r="S95" s="56">
        <f t="shared" si="18"/>
        <v>-7700000.0000000009</v>
      </c>
      <c r="T95" s="56">
        <f t="shared" si="18"/>
        <v>-7700000.0000000009</v>
      </c>
      <c r="U95" s="56">
        <f t="shared" si="18"/>
        <v>-7700000.0000000009</v>
      </c>
      <c r="V95" s="56">
        <f t="shared" si="18"/>
        <v>-7700000.0000000009</v>
      </c>
      <c r="W95" s="56">
        <f t="shared" si="18"/>
        <v>-7700000.0000000009</v>
      </c>
      <c r="X95" s="56">
        <f t="shared" si="18"/>
        <v>-7700000.0000000009</v>
      </c>
      <c r="Y95" s="56">
        <f t="shared" si="18"/>
        <v>-7700000.0000000009</v>
      </c>
      <c r="Z95" s="56">
        <f t="shared" si="18"/>
        <v>-7700000.0000000009</v>
      </c>
      <c r="AA95" s="56">
        <f t="shared" si="18"/>
        <v>-7700000.0000000009</v>
      </c>
      <c r="AB95" s="56">
        <f t="shared" si="18"/>
        <v>-7700000.0000000009</v>
      </c>
      <c r="AC95" s="56">
        <f t="shared" si="18"/>
        <v>-7700000.0000000009</v>
      </c>
      <c r="AD95" s="56">
        <f t="shared" si="18"/>
        <v>-7700000.0000000009</v>
      </c>
      <c r="AE95" s="56">
        <f t="shared" si="18"/>
        <v>-7700000.0000000009</v>
      </c>
    </row>
    <row r="96" spans="1:33" x14ac:dyDescent="0.25">
      <c r="A96" t="s">
        <v>52</v>
      </c>
      <c r="B96" s="56">
        <f>-$B$65</f>
        <v>-16666666.666666666</v>
      </c>
      <c r="C96" s="56">
        <f t="shared" ref="C96:AE96" si="19">-$B$65</f>
        <v>-16666666.666666666</v>
      </c>
      <c r="D96" s="56">
        <f t="shared" si="19"/>
        <v>-16666666.666666666</v>
      </c>
      <c r="E96" s="56">
        <f t="shared" si="19"/>
        <v>-16666666.666666666</v>
      </c>
      <c r="F96" s="56">
        <f t="shared" si="19"/>
        <v>-16666666.666666666</v>
      </c>
      <c r="G96" s="56">
        <f t="shared" si="19"/>
        <v>-16666666.666666666</v>
      </c>
      <c r="H96" s="56">
        <f t="shared" si="19"/>
        <v>-16666666.666666666</v>
      </c>
      <c r="I96" s="56">
        <f t="shared" si="19"/>
        <v>-16666666.666666666</v>
      </c>
      <c r="J96" s="56">
        <f t="shared" si="19"/>
        <v>-16666666.666666666</v>
      </c>
      <c r="K96" s="56">
        <f t="shared" si="19"/>
        <v>-16666666.666666666</v>
      </c>
      <c r="L96" s="56">
        <f t="shared" si="19"/>
        <v>-16666666.666666666</v>
      </c>
      <c r="M96" s="56">
        <f t="shared" si="19"/>
        <v>-16666666.666666666</v>
      </c>
      <c r="N96" s="56">
        <f t="shared" si="19"/>
        <v>-16666666.666666666</v>
      </c>
      <c r="O96" s="56">
        <f t="shared" si="19"/>
        <v>-16666666.666666666</v>
      </c>
      <c r="P96" s="56">
        <f t="shared" si="19"/>
        <v>-16666666.666666666</v>
      </c>
      <c r="Q96" s="56">
        <f t="shared" si="19"/>
        <v>-16666666.666666666</v>
      </c>
      <c r="R96" s="56">
        <f t="shared" si="19"/>
        <v>-16666666.666666666</v>
      </c>
      <c r="S96" s="56">
        <f t="shared" si="19"/>
        <v>-16666666.666666666</v>
      </c>
      <c r="T96" s="56">
        <f t="shared" si="19"/>
        <v>-16666666.666666666</v>
      </c>
      <c r="U96" s="56">
        <f t="shared" si="19"/>
        <v>-16666666.666666666</v>
      </c>
      <c r="V96" s="56">
        <f t="shared" si="19"/>
        <v>-16666666.666666666</v>
      </c>
      <c r="W96" s="56">
        <f t="shared" si="19"/>
        <v>-16666666.666666666</v>
      </c>
      <c r="X96" s="56">
        <f t="shared" si="19"/>
        <v>-16666666.666666666</v>
      </c>
      <c r="Y96" s="56">
        <f t="shared" si="19"/>
        <v>-16666666.666666666</v>
      </c>
      <c r="Z96" s="56">
        <f t="shared" si="19"/>
        <v>-16666666.666666666</v>
      </c>
      <c r="AA96" s="56">
        <f t="shared" si="19"/>
        <v>-16666666.666666666</v>
      </c>
      <c r="AB96" s="56">
        <f t="shared" si="19"/>
        <v>-16666666.666666666</v>
      </c>
      <c r="AC96" s="56">
        <f t="shared" si="19"/>
        <v>-16666666.666666666</v>
      </c>
      <c r="AD96" s="56">
        <f t="shared" si="19"/>
        <v>-16666666.666666666</v>
      </c>
      <c r="AE96" s="56">
        <f t="shared" si="19"/>
        <v>-16666666.666666666</v>
      </c>
    </row>
    <row r="97" spans="1:31" x14ac:dyDescent="0.25">
      <c r="A97" t="s">
        <v>55</v>
      </c>
      <c r="B97" s="56">
        <f>SUM(B94:B96)</f>
        <v>21724242.424242422</v>
      </c>
      <c r="C97" s="56">
        <f t="shared" ref="C97:AE97" si="20">SUM(C94:C96)</f>
        <v>22640299.242424242</v>
      </c>
      <c r="D97" s="56">
        <f t="shared" si="20"/>
        <v>23574562.689867415</v>
      </c>
      <c r="E97" s="56">
        <f t="shared" si="20"/>
        <v>24527394.623328529</v>
      </c>
      <c r="F97" s="56">
        <f t="shared" si="20"/>
        <v>25499164.091467179</v>
      </c>
      <c r="G97" s="56">
        <f t="shared" si="20"/>
        <v>26490247.477785081</v>
      </c>
      <c r="H97" s="56">
        <f t="shared" si="20"/>
        <v>27501028.646406062</v>
      </c>
      <c r="I97" s="56">
        <f t="shared" si="20"/>
        <v>28531899.090753369</v>
      </c>
      <c r="J97" s="56">
        <f t="shared" si="20"/>
        <v>29583258.085182093</v>
      </c>
      <c r="K97" s="56">
        <f t="shared" si="20"/>
        <v>30655512.839625075</v>
      </c>
      <c r="L97" s="56">
        <f t="shared" si="20"/>
        <v>31749078.657312617</v>
      </c>
      <c r="M97" s="56">
        <f t="shared" si="20"/>
        <v>32864379.095626697</v>
      </c>
      <c r="N97" s="56">
        <f t="shared" si="20"/>
        <v>34001846.13015227</v>
      </c>
      <c r="O97" s="56">
        <f t="shared" si="20"/>
        <v>35161920.321989045</v>
      </c>
      <c r="P97" s="56">
        <f t="shared" si="20"/>
        <v>36345050.988388576</v>
      </c>
      <c r="Q97" s="56">
        <f t="shared" si="20"/>
        <v>37551696.37678279</v>
      </c>
      <c r="R97" s="56">
        <f t="shared" si="20"/>
        <v>38782323.84227135</v>
      </c>
      <c r="S97" s="56">
        <f t="shared" si="20"/>
        <v>40037410.028636493</v>
      </c>
      <c r="T97" s="56">
        <f t="shared" si="20"/>
        <v>41317441.052955635</v>
      </c>
      <c r="U97" s="56">
        <f t="shared" si="20"/>
        <v>42622912.693883121</v>
      </c>
      <c r="V97" s="56">
        <f t="shared" si="20"/>
        <v>43954330.583674051</v>
      </c>
      <c r="W97" s="56">
        <f t="shared" si="20"/>
        <v>45312210.404024564</v>
      </c>
      <c r="X97" s="56">
        <f t="shared" si="20"/>
        <v>46697078.085804544</v>
      </c>
      <c r="Y97" s="56">
        <f t="shared" si="20"/>
        <v>48109470.012759902</v>
      </c>
      <c r="Z97" s="56">
        <f t="shared" si="20"/>
        <v>49549933.229263492</v>
      </c>
      <c r="AA97" s="56">
        <f t="shared" si="20"/>
        <v>51019025.652195103</v>
      </c>
      <c r="AB97" s="56">
        <f t="shared" si="20"/>
        <v>52517316.287032463</v>
      </c>
      <c r="AC97" s="56">
        <f t="shared" si="20"/>
        <v>54045385.448237233</v>
      </c>
      <c r="AD97" s="56">
        <f t="shared" si="20"/>
        <v>55603824.984020926</v>
      </c>
      <c r="AE97" s="56">
        <f t="shared" si="20"/>
        <v>57193238.505578332</v>
      </c>
    </row>
    <row r="98" spans="1:31" x14ac:dyDescent="0.25">
      <c r="A98" t="s">
        <v>51</v>
      </c>
      <c r="B98" s="56">
        <f>B97*$B$76</f>
        <v>4779333.333333333</v>
      </c>
      <c r="C98" s="56">
        <f t="shared" ref="C98:AE98" si="21">C97*$B$76</f>
        <v>4980865.833333333</v>
      </c>
      <c r="D98" s="56">
        <f t="shared" si="21"/>
        <v>5186403.7917708317</v>
      </c>
      <c r="E98" s="56">
        <f t="shared" si="21"/>
        <v>5396026.8171322765</v>
      </c>
      <c r="F98" s="56">
        <f t="shared" si="21"/>
        <v>5609816.1001227796</v>
      </c>
      <c r="G98" s="56">
        <f t="shared" si="21"/>
        <v>5827854.4451127173</v>
      </c>
      <c r="H98" s="56">
        <f t="shared" si="21"/>
        <v>6050226.3022093335</v>
      </c>
      <c r="I98" s="56">
        <f t="shared" si="21"/>
        <v>6277017.7999657411</v>
      </c>
      <c r="J98" s="56">
        <f t="shared" si="21"/>
        <v>6508316.7787400605</v>
      </c>
      <c r="K98" s="56">
        <f t="shared" si="21"/>
        <v>6744212.824717517</v>
      </c>
      <c r="L98" s="56">
        <f t="shared" si="21"/>
        <v>6984797.3046087753</v>
      </c>
      <c r="M98" s="56">
        <f t="shared" si="21"/>
        <v>7230163.4010378737</v>
      </c>
      <c r="N98" s="56">
        <f t="shared" si="21"/>
        <v>7480406.1486334996</v>
      </c>
      <c r="O98" s="56">
        <f t="shared" si="21"/>
        <v>7735622.4708375903</v>
      </c>
      <c r="P98" s="56">
        <f t="shared" si="21"/>
        <v>7995911.2174454862</v>
      </c>
      <c r="Q98" s="56">
        <f t="shared" si="21"/>
        <v>8261373.2028922141</v>
      </c>
      <c r="R98" s="56">
        <f t="shared" si="21"/>
        <v>8532111.2452996969</v>
      </c>
      <c r="S98" s="56">
        <f t="shared" si="21"/>
        <v>8808230.2063000277</v>
      </c>
      <c r="T98" s="56">
        <f t="shared" si="21"/>
        <v>9089837.0316502396</v>
      </c>
      <c r="U98" s="56">
        <f t="shared" si="21"/>
        <v>9377040.7926542871</v>
      </c>
      <c r="V98" s="56">
        <f t="shared" si="21"/>
        <v>9669952.7284082919</v>
      </c>
      <c r="W98" s="56">
        <f t="shared" si="21"/>
        <v>9968686.2888854034</v>
      </c>
      <c r="X98" s="56">
        <f t="shared" si="21"/>
        <v>10273357.178877</v>
      </c>
      <c r="Y98" s="56">
        <f t="shared" si="21"/>
        <v>10584083.402807178</v>
      </c>
      <c r="Z98" s="56">
        <f t="shared" si="21"/>
        <v>10900985.310437968</v>
      </c>
      <c r="AA98" s="56">
        <f t="shared" si="21"/>
        <v>11224185.643482924</v>
      </c>
      <c r="AB98" s="56">
        <f t="shared" si="21"/>
        <v>11553809.583147142</v>
      </c>
      <c r="AC98" s="56">
        <f t="shared" si="21"/>
        <v>11889984.79861219</v>
      </c>
      <c r="AD98" s="56">
        <f t="shared" si="21"/>
        <v>12232841.496484604</v>
      </c>
      <c r="AE98" s="56">
        <f t="shared" si="21"/>
        <v>12582512.471227232</v>
      </c>
    </row>
    <row r="100" spans="1:31" x14ac:dyDescent="0.25">
      <c r="A100" s="38" t="s">
        <v>7</v>
      </c>
      <c r="B100" s="38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31" x14ac:dyDescent="0.25">
      <c r="A101" t="s">
        <v>8</v>
      </c>
      <c r="B101" s="54">
        <f>NPV(B21,C88:AF88)</f>
        <v>504137376.04557383</v>
      </c>
      <c r="D101" s="22"/>
    </row>
    <row r="102" spans="1:31" x14ac:dyDescent="0.25">
      <c r="A102" s="23" t="s">
        <v>1</v>
      </c>
      <c r="B102" s="60">
        <f>NPV(B75,C88:AF88)+B88</f>
        <v>4388948.0088789463</v>
      </c>
    </row>
    <row r="103" spans="1:31" x14ac:dyDescent="0.25">
      <c r="A103" s="21" t="s">
        <v>9</v>
      </c>
      <c r="B103" s="5">
        <f>IRR(B88:AF88)</f>
        <v>7.3186613443926296E-2</v>
      </c>
    </row>
    <row r="104" spans="1:31" x14ac:dyDescent="0.25"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1:31" x14ac:dyDescent="0.25"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spans="1:31" x14ac:dyDescent="0.25">
      <c r="A106" s="48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M106" s="22"/>
    </row>
    <row r="107" spans="1:31" x14ac:dyDescent="0.25">
      <c r="A107" s="50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M107" s="22"/>
    </row>
    <row r="108" spans="1:31" x14ac:dyDescent="0.25">
      <c r="A108" s="19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M108" s="22"/>
    </row>
    <row r="109" spans="1:31" x14ac:dyDescent="0.25">
      <c r="A109" s="19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M109" s="22"/>
    </row>
    <row r="110" spans="1:31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M110" s="22"/>
    </row>
    <row r="111" spans="1:31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31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3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M113" s="22"/>
    </row>
    <row r="114" spans="1:13" x14ac:dyDescent="0.25">
      <c r="A114" s="48"/>
      <c r="B114" s="48"/>
      <c r="C114" s="20"/>
      <c r="D114" s="20"/>
      <c r="E114" s="20"/>
      <c r="F114" s="20"/>
      <c r="M114" s="22"/>
    </row>
    <row r="115" spans="1:13" x14ac:dyDescent="0.25">
      <c r="B115" s="20"/>
      <c r="C115" s="20"/>
      <c r="D115" s="20"/>
      <c r="E115" s="20"/>
      <c r="F115" s="20"/>
      <c r="M115" s="22"/>
    </row>
    <row r="116" spans="1:13" x14ac:dyDescent="0.25">
      <c r="B116" s="20"/>
      <c r="C116" s="20"/>
      <c r="D116" s="20"/>
      <c r="E116" s="20"/>
      <c r="F116" s="20"/>
      <c r="M116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Discount rate &amp; power price</vt:lpstr>
      <vt:lpstr>DCF model</vt:lpstr>
      <vt:lpstr>Sensitivity Analysis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</dc:creator>
  <cp:lastModifiedBy>minh.thy.le</cp:lastModifiedBy>
  <dcterms:created xsi:type="dcterms:W3CDTF">2023-05-10T19:10:15Z</dcterms:created>
  <dcterms:modified xsi:type="dcterms:W3CDTF">2026-05-29T21:38:56Z</dcterms:modified>
</cp:coreProperties>
</file>